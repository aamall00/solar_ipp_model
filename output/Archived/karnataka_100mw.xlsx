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mir\OneDrive\Documents\AI Projects\solar_ipp_model\output\"/>
    </mc:Choice>
  </mc:AlternateContent>
  <xr:revisionPtr revIDLastSave="0" documentId="13_ncr:1_{41095229-773C-4DDA-906A-B88EB8FDB1BB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Cover" sheetId="1" r:id="rId1"/>
    <sheet name="Income Statement" sheetId="2" r:id="rId2"/>
    <sheet name="Cash Flow" sheetId="3" r:id="rId3"/>
    <sheet name="Debt Schedule" sheetId="4" r:id="rId4"/>
    <sheet name="Generation &amp; Revenue" sheetId="5" r:id="rId5"/>
    <sheet name="Waterfall" sheetId="6" r:id="rId6"/>
    <sheet name="Sensitivity" sheetId="7" r:id="rId7"/>
    <sheet name="Assumptions" sheetId="8" r:id="rId8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B48" i="2" l="1"/>
  <c r="CR48" i="2"/>
  <c r="CQ48" i="2"/>
  <c r="CP48" i="2"/>
  <c r="CF48" i="2"/>
  <c r="CE48" i="2"/>
  <c r="CD48" i="2"/>
  <c r="BT48" i="2"/>
  <c r="BS48" i="2"/>
  <c r="BR48" i="2"/>
  <c r="BH48" i="2"/>
  <c r="BG48" i="2"/>
  <c r="BF48" i="2"/>
  <c r="AV48" i="2"/>
  <c r="AU48" i="2"/>
  <c r="AT48" i="2"/>
  <c r="AJ48" i="2"/>
  <c r="AI48" i="2"/>
  <c r="AH48" i="2"/>
  <c r="X48" i="2"/>
  <c r="W48" i="2"/>
  <c r="V48" i="2"/>
  <c r="L48" i="2"/>
  <c r="K48" i="2"/>
  <c r="J48" i="2"/>
  <c r="DB47" i="2"/>
  <c r="DA47" i="2"/>
  <c r="CZ47" i="2"/>
  <c r="CY47" i="2"/>
  <c r="CX47" i="2"/>
  <c r="CW47" i="2"/>
  <c r="CV47" i="2"/>
  <c r="CU47" i="2"/>
  <c r="CU48" i="2" s="1"/>
  <c r="CT47" i="2"/>
  <c r="CT48" i="2" s="1"/>
  <c r="CS47" i="2"/>
  <c r="CS48" i="2" s="1"/>
  <c r="CR47" i="2"/>
  <c r="CQ47" i="2"/>
  <c r="CP47" i="2"/>
  <c r="CO47" i="2"/>
  <c r="CN47" i="2"/>
  <c r="CM47" i="2"/>
  <c r="CL47" i="2"/>
  <c r="CK47" i="2"/>
  <c r="CJ47" i="2"/>
  <c r="CI47" i="2"/>
  <c r="CI48" i="2" s="1"/>
  <c r="CH47" i="2"/>
  <c r="CH48" i="2" s="1"/>
  <c r="CG47" i="2"/>
  <c r="CG48" i="2" s="1"/>
  <c r="CF47" i="2"/>
  <c r="CE47" i="2"/>
  <c r="CD47" i="2"/>
  <c r="CC47" i="2"/>
  <c r="CB47" i="2"/>
  <c r="CA47" i="2"/>
  <c r="BZ47" i="2"/>
  <c r="BY47" i="2"/>
  <c r="BX47" i="2"/>
  <c r="BW47" i="2"/>
  <c r="BW48" i="2" s="1"/>
  <c r="BV47" i="2"/>
  <c r="BV48" i="2" s="1"/>
  <c r="BU47" i="2"/>
  <c r="BU48" i="2" s="1"/>
  <c r="BT47" i="2"/>
  <c r="BS47" i="2"/>
  <c r="BR47" i="2"/>
  <c r="BQ47" i="2"/>
  <c r="BP47" i="2"/>
  <c r="BO47" i="2"/>
  <c r="BN47" i="2"/>
  <c r="BM47" i="2"/>
  <c r="BL47" i="2"/>
  <c r="BK47" i="2"/>
  <c r="BK48" i="2" s="1"/>
  <c r="BJ47" i="2"/>
  <c r="BJ48" i="2" s="1"/>
  <c r="BI47" i="2"/>
  <c r="BI48" i="2" s="1"/>
  <c r="BH47" i="2"/>
  <c r="BG47" i="2"/>
  <c r="BF47" i="2"/>
  <c r="BE47" i="2"/>
  <c r="BD47" i="2"/>
  <c r="BC47" i="2"/>
  <c r="BB47" i="2"/>
  <c r="BA47" i="2"/>
  <c r="AZ47" i="2"/>
  <c r="AY47" i="2"/>
  <c r="AY48" i="2" s="1"/>
  <c r="AX47" i="2"/>
  <c r="AX48" i="2" s="1"/>
  <c r="AW47" i="2"/>
  <c r="AW48" i="2" s="1"/>
  <c r="AV47" i="2"/>
  <c r="AU47" i="2"/>
  <c r="AT47" i="2"/>
  <c r="AS47" i="2"/>
  <c r="AR47" i="2"/>
  <c r="AQ47" i="2"/>
  <c r="AP47" i="2"/>
  <c r="AO47" i="2"/>
  <c r="AN47" i="2"/>
  <c r="AM47" i="2"/>
  <c r="AM48" i="2" s="1"/>
  <c r="AL47" i="2"/>
  <c r="AL48" i="2" s="1"/>
  <c r="AK47" i="2"/>
  <c r="AK48" i="2" s="1"/>
  <c r="AJ47" i="2"/>
  <c r="AI47" i="2"/>
  <c r="AH47" i="2"/>
  <c r="AG47" i="2"/>
  <c r="AF47" i="2"/>
  <c r="AE47" i="2"/>
  <c r="AD47" i="2"/>
  <c r="AC47" i="2"/>
  <c r="AB47" i="2"/>
  <c r="AA47" i="2"/>
  <c r="AA48" i="2" s="1"/>
  <c r="Z47" i="2"/>
  <c r="Z48" i="2" s="1"/>
  <c r="Y47" i="2"/>
  <c r="Y48" i="2" s="1"/>
  <c r="X47" i="2"/>
  <c r="W47" i="2"/>
  <c r="V47" i="2"/>
  <c r="U47" i="2"/>
  <c r="T47" i="2"/>
  <c r="S47" i="2"/>
  <c r="R47" i="2"/>
  <c r="Q47" i="2"/>
  <c r="P47" i="2"/>
  <c r="O47" i="2"/>
  <c r="O48" i="2" s="1"/>
  <c r="N47" i="2"/>
  <c r="N48" i="2" s="1"/>
  <c r="M47" i="2"/>
  <c r="M48" i="2" s="1"/>
  <c r="L47" i="2"/>
  <c r="K47" i="2"/>
  <c r="J47" i="2"/>
  <c r="I47" i="2"/>
  <c r="H47" i="2"/>
  <c r="DB46" i="2"/>
  <c r="DA46" i="2"/>
  <c r="CZ46" i="2"/>
  <c r="CY46" i="2"/>
  <c r="CX46" i="2"/>
  <c r="CX48" i="2" s="1"/>
  <c r="CW46" i="2"/>
  <c r="CW48" i="2" s="1"/>
  <c r="CV46" i="2"/>
  <c r="CV48" i="2" s="1"/>
  <c r="CU46" i="2"/>
  <c r="CT46" i="2"/>
  <c r="CS46" i="2"/>
  <c r="CR46" i="2"/>
  <c r="CQ46" i="2"/>
  <c r="CP46" i="2"/>
  <c r="CO46" i="2"/>
  <c r="CN46" i="2"/>
  <c r="CM46" i="2"/>
  <c r="CL46" i="2"/>
  <c r="CL48" i="2" s="1"/>
  <c r="CK46" i="2"/>
  <c r="CK48" i="2" s="1"/>
  <c r="CJ46" i="2"/>
  <c r="CJ48" i="2" s="1"/>
  <c r="CI46" i="2"/>
  <c r="CH46" i="2"/>
  <c r="CG46" i="2"/>
  <c r="CF46" i="2"/>
  <c r="CE46" i="2"/>
  <c r="CD46" i="2"/>
  <c r="CC46" i="2"/>
  <c r="CB46" i="2"/>
  <c r="CA46" i="2"/>
  <c r="BZ46" i="2"/>
  <c r="BZ48" i="2" s="1"/>
  <c r="BY46" i="2"/>
  <c r="BY48" i="2" s="1"/>
  <c r="BX46" i="2"/>
  <c r="BX48" i="2" s="1"/>
  <c r="BW46" i="2"/>
  <c r="BV46" i="2"/>
  <c r="BU46" i="2"/>
  <c r="BT46" i="2"/>
  <c r="BS46" i="2"/>
  <c r="BR46" i="2"/>
  <c r="BQ46" i="2"/>
  <c r="BP46" i="2"/>
  <c r="BO46" i="2"/>
  <c r="BN46" i="2"/>
  <c r="BN48" i="2" s="1"/>
  <c r="BM46" i="2"/>
  <c r="BM48" i="2" s="1"/>
  <c r="BL46" i="2"/>
  <c r="BL48" i="2" s="1"/>
  <c r="BK46" i="2"/>
  <c r="BJ46" i="2"/>
  <c r="BI46" i="2"/>
  <c r="BH46" i="2"/>
  <c r="BG46" i="2"/>
  <c r="BF46" i="2"/>
  <c r="BE46" i="2"/>
  <c r="BD46" i="2"/>
  <c r="BC46" i="2"/>
  <c r="BB46" i="2"/>
  <c r="BB48" i="2" s="1"/>
  <c r="BA46" i="2"/>
  <c r="BA48" i="2" s="1"/>
  <c r="AZ46" i="2"/>
  <c r="AZ48" i="2" s="1"/>
  <c r="AY46" i="2"/>
  <c r="AX46" i="2"/>
  <c r="AW46" i="2"/>
  <c r="AV46" i="2"/>
  <c r="AU46" i="2"/>
  <c r="AT46" i="2"/>
  <c r="AS46" i="2"/>
  <c r="AR46" i="2"/>
  <c r="AQ46" i="2"/>
  <c r="AP46" i="2"/>
  <c r="AP48" i="2" s="1"/>
  <c r="AO46" i="2"/>
  <c r="AO48" i="2" s="1"/>
  <c r="AN46" i="2"/>
  <c r="AN48" i="2" s="1"/>
  <c r="AM46" i="2"/>
  <c r="AL46" i="2"/>
  <c r="AK46" i="2"/>
  <c r="AJ46" i="2"/>
  <c r="AI46" i="2"/>
  <c r="AH46" i="2"/>
  <c r="AG46" i="2"/>
  <c r="AF46" i="2"/>
  <c r="AE46" i="2"/>
  <c r="AD46" i="2"/>
  <c r="AD48" i="2" s="1"/>
  <c r="AC46" i="2"/>
  <c r="AC48" i="2" s="1"/>
  <c r="AB46" i="2"/>
  <c r="AB48" i="2" s="1"/>
  <c r="AA46" i="2"/>
  <c r="Z46" i="2"/>
  <c r="Y46" i="2"/>
  <c r="X46" i="2"/>
  <c r="W46" i="2"/>
  <c r="V46" i="2"/>
  <c r="U46" i="2"/>
  <c r="T46" i="2"/>
  <c r="S46" i="2"/>
  <c r="R46" i="2"/>
  <c r="R48" i="2" s="1"/>
  <c r="Q46" i="2"/>
  <c r="Q48" i="2" s="1"/>
  <c r="P46" i="2"/>
  <c r="P48" i="2" s="1"/>
  <c r="O46" i="2"/>
  <c r="N46" i="2"/>
  <c r="M46" i="2"/>
  <c r="L46" i="2"/>
  <c r="K46" i="2"/>
  <c r="J46" i="2"/>
  <c r="I46" i="2"/>
  <c r="H46" i="2"/>
  <c r="DB45" i="2"/>
  <c r="DA45" i="2"/>
  <c r="DA48" i="2" s="1"/>
  <c r="CZ45" i="2"/>
  <c r="CZ48" i="2" s="1"/>
  <c r="CY45" i="2"/>
  <c r="CY48" i="2" s="1"/>
  <c r="CX45" i="2"/>
  <c r="CW45" i="2"/>
  <c r="CV45" i="2"/>
  <c r="CU45" i="2"/>
  <c r="CT45" i="2"/>
  <c r="CS45" i="2"/>
  <c r="CR45" i="2"/>
  <c r="CQ45" i="2"/>
  <c r="CP45" i="2"/>
  <c r="CO45" i="2"/>
  <c r="CO48" i="2" s="1"/>
  <c r="CN45" i="2"/>
  <c r="CN48" i="2" s="1"/>
  <c r="CM45" i="2"/>
  <c r="CM48" i="2" s="1"/>
  <c r="CL45" i="2"/>
  <c r="CK45" i="2"/>
  <c r="CJ45" i="2"/>
  <c r="CI45" i="2"/>
  <c r="CH45" i="2"/>
  <c r="CG45" i="2"/>
  <c r="CF45" i="2"/>
  <c r="CE45" i="2"/>
  <c r="CD45" i="2"/>
  <c r="CC45" i="2"/>
  <c r="CC48" i="2" s="1"/>
  <c r="CB45" i="2"/>
  <c r="CB48" i="2" s="1"/>
  <c r="CA45" i="2"/>
  <c r="CA48" i="2" s="1"/>
  <c r="BZ45" i="2"/>
  <c r="BY45" i="2"/>
  <c r="BX45" i="2"/>
  <c r="BW45" i="2"/>
  <c r="BV45" i="2"/>
  <c r="BU45" i="2"/>
  <c r="BT45" i="2"/>
  <c r="BS45" i="2"/>
  <c r="BR45" i="2"/>
  <c r="BQ45" i="2"/>
  <c r="BQ48" i="2" s="1"/>
  <c r="BP45" i="2"/>
  <c r="BP48" i="2" s="1"/>
  <c r="BO45" i="2"/>
  <c r="BO48" i="2" s="1"/>
  <c r="BN45" i="2"/>
  <c r="BM45" i="2"/>
  <c r="BL45" i="2"/>
  <c r="BK45" i="2"/>
  <c r="BJ45" i="2"/>
  <c r="BI45" i="2"/>
  <c r="BH45" i="2"/>
  <c r="BG45" i="2"/>
  <c r="BF45" i="2"/>
  <c r="BE45" i="2"/>
  <c r="BE48" i="2" s="1"/>
  <c r="BD45" i="2"/>
  <c r="BD48" i="2" s="1"/>
  <c r="BC45" i="2"/>
  <c r="BC48" i="2" s="1"/>
  <c r="BB45" i="2"/>
  <c r="BA45" i="2"/>
  <c r="AZ45" i="2"/>
  <c r="AY45" i="2"/>
  <c r="AX45" i="2"/>
  <c r="AW45" i="2"/>
  <c r="AV45" i="2"/>
  <c r="AU45" i="2"/>
  <c r="AT45" i="2"/>
  <c r="AS45" i="2"/>
  <c r="AS48" i="2" s="1"/>
  <c r="AR45" i="2"/>
  <c r="AR48" i="2" s="1"/>
  <c r="AQ45" i="2"/>
  <c r="AQ48" i="2" s="1"/>
  <c r="AP45" i="2"/>
  <c r="AO45" i="2"/>
  <c r="AN45" i="2"/>
  <c r="AM45" i="2"/>
  <c r="AL45" i="2"/>
  <c r="AK45" i="2"/>
  <c r="AJ45" i="2"/>
  <c r="AI45" i="2"/>
  <c r="AH45" i="2"/>
  <c r="AG45" i="2"/>
  <c r="AG48" i="2" s="1"/>
  <c r="AF45" i="2"/>
  <c r="AF48" i="2" s="1"/>
  <c r="AE45" i="2"/>
  <c r="AE48" i="2" s="1"/>
  <c r="AD45" i="2"/>
  <c r="AC45" i="2"/>
  <c r="AB45" i="2"/>
  <c r="AA45" i="2"/>
  <c r="Z45" i="2"/>
  <c r="Y45" i="2"/>
  <c r="X45" i="2"/>
  <c r="W45" i="2"/>
  <c r="V45" i="2"/>
  <c r="U45" i="2"/>
  <c r="U48" i="2" s="1"/>
  <c r="T45" i="2"/>
  <c r="T48" i="2" s="1"/>
  <c r="S45" i="2"/>
  <c r="S48" i="2" s="1"/>
  <c r="R45" i="2"/>
  <c r="Q45" i="2"/>
  <c r="P45" i="2"/>
  <c r="O45" i="2"/>
  <c r="N45" i="2"/>
  <c r="M45" i="2"/>
  <c r="L45" i="2"/>
  <c r="K45" i="2"/>
  <c r="J45" i="2"/>
  <c r="I45" i="2"/>
  <c r="I48" i="2" s="1"/>
  <c r="H45" i="2"/>
  <c r="H48" i="2" s="1"/>
  <c r="G48" i="2"/>
  <c r="G47" i="2"/>
  <c r="G46" i="2"/>
  <c r="G45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B39" i="2"/>
  <c r="B30" i="2"/>
  <c r="DB35" i="2"/>
  <c r="DA35" i="2"/>
  <c r="CZ35" i="2"/>
  <c r="CY35" i="2"/>
  <c r="CX35" i="2"/>
  <c r="CW35" i="2"/>
  <c r="CV35" i="2"/>
  <c r="CU35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B31" i="2"/>
  <c r="B26" i="2"/>
  <c r="CU26" i="2" s="1"/>
  <c r="CU29" i="2" s="1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CL31" i="2" l="1"/>
  <c r="AB31" i="2"/>
  <c r="AW31" i="2"/>
  <c r="BR31" i="2"/>
  <c r="CP31" i="2"/>
  <c r="K31" i="2"/>
  <c r="AC31" i="2"/>
  <c r="AX31" i="2"/>
  <c r="BV31" i="2"/>
  <c r="CQ31" i="2"/>
  <c r="L31" i="2"/>
  <c r="AD31" i="2"/>
  <c r="AY31" i="2"/>
  <c r="BW31" i="2"/>
  <c r="CR31" i="2"/>
  <c r="M31" i="2"/>
  <c r="AH31" i="2"/>
  <c r="AZ31" i="2"/>
  <c r="BX31" i="2"/>
  <c r="CS31" i="2"/>
  <c r="N31" i="2"/>
  <c r="AI31" i="2"/>
  <c r="BG31" i="2"/>
  <c r="BY31" i="2"/>
  <c r="CT31" i="2"/>
  <c r="AF26" i="2"/>
  <c r="AF29" i="2" s="1"/>
  <c r="O31" i="2"/>
  <c r="AJ31" i="2"/>
  <c r="BH31" i="2"/>
  <c r="BZ31" i="2"/>
  <c r="CU31" i="2"/>
  <c r="AG26" i="2"/>
  <c r="AG29" i="2" s="1"/>
  <c r="P31" i="2"/>
  <c r="AK31" i="2"/>
  <c r="BI31" i="2"/>
  <c r="CD31" i="2"/>
  <c r="CD33" i="2" s="1"/>
  <c r="CD37" i="2" s="1"/>
  <c r="CD39" i="2" s="1"/>
  <c r="CV31" i="2"/>
  <c r="AH26" i="2"/>
  <c r="AH29" i="2" s="1"/>
  <c r="Q31" i="2"/>
  <c r="Q33" i="2" s="1"/>
  <c r="Q37" i="2" s="1"/>
  <c r="Q39" i="2" s="1"/>
  <c r="AO31" i="2"/>
  <c r="BJ31" i="2"/>
  <c r="CE31" i="2"/>
  <c r="BL26" i="2"/>
  <c r="BL29" i="2" s="1"/>
  <c r="R31" i="2"/>
  <c r="AP31" i="2"/>
  <c r="BK31" i="2"/>
  <c r="CF31" i="2"/>
  <c r="BM26" i="2"/>
  <c r="BM29" i="2" s="1"/>
  <c r="BM33" i="2" s="1"/>
  <c r="BM37" i="2" s="1"/>
  <c r="BM39" i="2" s="1"/>
  <c r="V31" i="2"/>
  <c r="AT31" i="2"/>
  <c r="BL31" i="2"/>
  <c r="CG31" i="2"/>
  <c r="BN26" i="2"/>
  <c r="BN29" i="2" s="1"/>
  <c r="Z31" i="2"/>
  <c r="AU31" i="2"/>
  <c r="BM31" i="2"/>
  <c r="CK31" i="2"/>
  <c r="CK33" i="2" s="1"/>
  <c r="CK37" i="2" s="1"/>
  <c r="CK39" i="2" s="1"/>
  <c r="AA31" i="2"/>
  <c r="AV31" i="2"/>
  <c r="BN31" i="2"/>
  <c r="BN33" i="2" s="1"/>
  <c r="BN37" i="2" s="1"/>
  <c r="BN39" i="2" s="1"/>
  <c r="CR26" i="2"/>
  <c r="CR29" i="2" s="1"/>
  <c r="CF26" i="2"/>
  <c r="CF29" i="2" s="1"/>
  <c r="BT26" i="2"/>
  <c r="BT29" i="2" s="1"/>
  <c r="BH26" i="2"/>
  <c r="BH29" i="2" s="1"/>
  <c r="AV26" i="2"/>
  <c r="AV29" i="2" s="1"/>
  <c r="AJ26" i="2"/>
  <c r="AJ29" i="2" s="1"/>
  <c r="AJ33" i="2" s="1"/>
  <c r="AJ37" i="2" s="1"/>
  <c r="AJ39" i="2" s="1"/>
  <c r="X26" i="2"/>
  <c r="X29" i="2" s="1"/>
  <c r="L26" i="2"/>
  <c r="L29" i="2" s="1"/>
  <c r="CQ26" i="2"/>
  <c r="CQ29" i="2" s="1"/>
  <c r="CE26" i="2"/>
  <c r="CE29" i="2" s="1"/>
  <c r="CE33" i="2" s="1"/>
  <c r="CE37" i="2" s="1"/>
  <c r="CE39" i="2" s="1"/>
  <c r="BS26" i="2"/>
  <c r="BS29" i="2" s="1"/>
  <c r="BG26" i="2"/>
  <c r="BG29" i="2" s="1"/>
  <c r="BG33" i="2" s="1"/>
  <c r="BG37" i="2" s="1"/>
  <c r="BG39" i="2" s="1"/>
  <c r="AU26" i="2"/>
  <c r="AU29" i="2" s="1"/>
  <c r="AI26" i="2"/>
  <c r="AI29" i="2" s="1"/>
  <c r="W26" i="2"/>
  <c r="W29" i="2" s="1"/>
  <c r="K26" i="2"/>
  <c r="K29" i="2" s="1"/>
  <c r="DB26" i="2"/>
  <c r="DB29" i="2" s="1"/>
  <c r="CP26" i="2"/>
  <c r="CP29" i="2" s="1"/>
  <c r="CP33" i="2" s="1"/>
  <c r="CP37" i="2" s="1"/>
  <c r="CP39" i="2" s="1"/>
  <c r="CD26" i="2"/>
  <c r="CD29" i="2" s="1"/>
  <c r="BR26" i="2"/>
  <c r="BR29" i="2" s="1"/>
  <c r="BR33" i="2" s="1"/>
  <c r="BR37" i="2" s="1"/>
  <c r="BR39" i="2" s="1"/>
  <c r="CM26" i="2"/>
  <c r="CM29" i="2" s="1"/>
  <c r="BX26" i="2"/>
  <c r="BX29" i="2" s="1"/>
  <c r="BX33" i="2" s="1"/>
  <c r="BX37" i="2" s="1"/>
  <c r="BX39" i="2" s="1"/>
  <c r="BI26" i="2"/>
  <c r="BI29" i="2" s="1"/>
  <c r="BI33" i="2" s="1"/>
  <c r="BI37" i="2" s="1"/>
  <c r="BI39" i="2" s="1"/>
  <c r="AS26" i="2"/>
  <c r="AS29" i="2" s="1"/>
  <c r="AE26" i="2"/>
  <c r="AE29" i="2" s="1"/>
  <c r="Q26" i="2"/>
  <c r="Q29" i="2" s="1"/>
  <c r="CY26" i="2"/>
  <c r="CY29" i="2" s="1"/>
  <c r="N26" i="2"/>
  <c r="N29" i="2" s="1"/>
  <c r="CI26" i="2"/>
  <c r="CI29" i="2" s="1"/>
  <c r="BQ26" i="2"/>
  <c r="BQ29" i="2" s="1"/>
  <c r="BC26" i="2"/>
  <c r="BC29" i="2" s="1"/>
  <c r="AA26" i="2"/>
  <c r="AA29" i="2" s="1"/>
  <c r="M26" i="2"/>
  <c r="M29" i="2" s="1"/>
  <c r="M33" i="2" s="1"/>
  <c r="M37" i="2" s="1"/>
  <c r="M39" i="2" s="1"/>
  <c r="CH26" i="2"/>
  <c r="CH29" i="2" s="1"/>
  <c r="BP26" i="2"/>
  <c r="BP29" i="2" s="1"/>
  <c r="AN26" i="2"/>
  <c r="AN29" i="2" s="1"/>
  <c r="Z26" i="2"/>
  <c r="Z29" i="2" s="1"/>
  <c r="CG26" i="2"/>
  <c r="CG29" i="2" s="1"/>
  <c r="BO26" i="2"/>
  <c r="BO29" i="2" s="1"/>
  <c r="BA26" i="2"/>
  <c r="BA29" i="2" s="1"/>
  <c r="AM26" i="2"/>
  <c r="AM29" i="2" s="1"/>
  <c r="I26" i="2"/>
  <c r="I29" i="2" s="1"/>
  <c r="DA26" i="2"/>
  <c r="DA29" i="2" s="1"/>
  <c r="DA33" i="2" s="1"/>
  <c r="DA37" i="2" s="1"/>
  <c r="DA39" i="2" s="1"/>
  <c r="CL26" i="2"/>
  <c r="CL29" i="2" s="1"/>
  <c r="CL33" i="2" s="1"/>
  <c r="CL37" i="2" s="1"/>
  <c r="CL39" i="2" s="1"/>
  <c r="BW26" i="2"/>
  <c r="BW29" i="2" s="1"/>
  <c r="BW33" i="2" s="1"/>
  <c r="BW37" i="2" s="1"/>
  <c r="BW39" i="2" s="1"/>
  <c r="BF26" i="2"/>
  <c r="BF29" i="2" s="1"/>
  <c r="BF33" i="2" s="1"/>
  <c r="BF37" i="2" s="1"/>
  <c r="BF39" i="2" s="1"/>
  <c r="AR26" i="2"/>
  <c r="AR29" i="2" s="1"/>
  <c r="AD26" i="2"/>
  <c r="AD29" i="2" s="1"/>
  <c r="AD33" i="2" s="1"/>
  <c r="AD37" i="2" s="1"/>
  <c r="AD39" i="2" s="1"/>
  <c r="P26" i="2"/>
  <c r="P29" i="2" s="1"/>
  <c r="CZ26" i="2"/>
  <c r="CZ29" i="2" s="1"/>
  <c r="CK26" i="2"/>
  <c r="CK29" i="2" s="1"/>
  <c r="BV26" i="2"/>
  <c r="BV29" i="2" s="1"/>
  <c r="BE26" i="2"/>
  <c r="BE29" i="2" s="1"/>
  <c r="AQ26" i="2"/>
  <c r="AQ29" i="2" s="1"/>
  <c r="AC26" i="2"/>
  <c r="AC29" i="2" s="1"/>
  <c r="AC33" i="2" s="1"/>
  <c r="AC37" i="2" s="1"/>
  <c r="AC39" i="2" s="1"/>
  <c r="O26" i="2"/>
  <c r="O29" i="2" s="1"/>
  <c r="O33" i="2" s="1"/>
  <c r="O37" i="2" s="1"/>
  <c r="O39" i="2" s="1"/>
  <c r="CJ26" i="2"/>
  <c r="CJ29" i="2" s="1"/>
  <c r="BU26" i="2"/>
  <c r="BU29" i="2" s="1"/>
  <c r="BD26" i="2"/>
  <c r="BD29" i="2" s="1"/>
  <c r="AP26" i="2"/>
  <c r="AP29" i="2" s="1"/>
  <c r="AP33" i="2" s="1"/>
  <c r="AP37" i="2" s="1"/>
  <c r="AP39" i="2" s="1"/>
  <c r="AB26" i="2"/>
  <c r="AB29" i="2" s="1"/>
  <c r="CX26" i="2"/>
  <c r="CX29" i="2" s="1"/>
  <c r="AO26" i="2"/>
  <c r="AO29" i="2" s="1"/>
  <c r="CW26" i="2"/>
  <c r="CW29" i="2" s="1"/>
  <c r="BB26" i="2"/>
  <c r="BB29" i="2" s="1"/>
  <c r="J26" i="2"/>
  <c r="J29" i="2" s="1"/>
  <c r="CV26" i="2"/>
  <c r="CV29" i="2" s="1"/>
  <c r="AK26" i="2"/>
  <c r="AK29" i="2" s="1"/>
  <c r="BY26" i="2"/>
  <c r="BY29" i="2" s="1"/>
  <c r="G26" i="2"/>
  <c r="G29" i="2" s="1"/>
  <c r="AL26" i="2"/>
  <c r="AL29" i="2" s="1"/>
  <c r="AL33" i="2" s="1"/>
  <c r="AL37" i="2" s="1"/>
  <c r="AL39" i="2" s="1"/>
  <c r="BZ26" i="2"/>
  <c r="BZ29" i="2" s="1"/>
  <c r="BZ33" i="2" s="1"/>
  <c r="BZ37" i="2" s="1"/>
  <c r="BZ39" i="2" s="1"/>
  <c r="H26" i="2"/>
  <c r="H29" i="2" s="1"/>
  <c r="AT26" i="2"/>
  <c r="AT29" i="2" s="1"/>
  <c r="AT33" i="2" s="1"/>
  <c r="AT37" i="2" s="1"/>
  <c r="AT39" i="2" s="1"/>
  <c r="CA26" i="2"/>
  <c r="CA29" i="2" s="1"/>
  <c r="R26" i="2"/>
  <c r="R29" i="2" s="1"/>
  <c r="AW26" i="2"/>
  <c r="AW29" i="2" s="1"/>
  <c r="AW33" i="2" s="1"/>
  <c r="AW37" i="2" s="1"/>
  <c r="AW39" i="2" s="1"/>
  <c r="CB26" i="2"/>
  <c r="CB29" i="2" s="1"/>
  <c r="CU33" i="2"/>
  <c r="CU37" i="2" s="1"/>
  <c r="CU39" i="2" s="1"/>
  <c r="S26" i="2"/>
  <c r="S29" i="2" s="1"/>
  <c r="AX26" i="2"/>
  <c r="AX29" i="2" s="1"/>
  <c r="AX33" i="2" s="1"/>
  <c r="AX37" i="2" s="1"/>
  <c r="AX39" i="2" s="1"/>
  <c r="CC26" i="2"/>
  <c r="CC29" i="2" s="1"/>
  <c r="T26" i="2"/>
  <c r="T29" i="2" s="1"/>
  <c r="AY26" i="2"/>
  <c r="AY29" i="2" s="1"/>
  <c r="AY33" i="2" s="1"/>
  <c r="AY37" i="2" s="1"/>
  <c r="AY39" i="2" s="1"/>
  <c r="CN26" i="2"/>
  <c r="CN29" i="2" s="1"/>
  <c r="U26" i="2"/>
  <c r="U29" i="2" s="1"/>
  <c r="AZ26" i="2"/>
  <c r="AZ29" i="2" s="1"/>
  <c r="CO26" i="2"/>
  <c r="CO29" i="2" s="1"/>
  <c r="V26" i="2"/>
  <c r="V29" i="2" s="1"/>
  <c r="V33" i="2" s="1"/>
  <c r="V37" i="2" s="1"/>
  <c r="V39" i="2" s="1"/>
  <c r="BJ26" i="2"/>
  <c r="BJ29" i="2" s="1"/>
  <c r="BJ33" i="2" s="1"/>
  <c r="BJ37" i="2" s="1"/>
  <c r="BJ39" i="2" s="1"/>
  <c r="CS26" i="2"/>
  <c r="CS29" i="2" s="1"/>
  <c r="Y26" i="2"/>
  <c r="Y29" i="2" s="1"/>
  <c r="BK26" i="2"/>
  <c r="BK29" i="2" s="1"/>
  <c r="CT26" i="2"/>
  <c r="CT29" i="2" s="1"/>
  <c r="BL33" i="2"/>
  <c r="BL37" i="2" s="1"/>
  <c r="BL39" i="2" s="1"/>
  <c r="CG33" i="2"/>
  <c r="CG37" i="2" s="1"/>
  <c r="CG39" i="2" s="1"/>
  <c r="DA31" i="2"/>
  <c r="DB31" i="2"/>
  <c r="CJ31" i="2"/>
  <c r="BU31" i="2"/>
  <c r="BF31" i="2"/>
  <c r="AN31" i="2"/>
  <c r="Y31" i="2"/>
  <c r="J31" i="2"/>
  <c r="CX31" i="2"/>
  <c r="CX33" i="2" s="1"/>
  <c r="CX37" i="2" s="1"/>
  <c r="CX39" i="2" s="1"/>
  <c r="CI31" i="2"/>
  <c r="BT31" i="2"/>
  <c r="BT33" i="2" s="1"/>
  <c r="BT37" i="2" s="1"/>
  <c r="BT39" i="2" s="1"/>
  <c r="BB31" i="2"/>
  <c r="AM31" i="2"/>
  <c r="X31" i="2"/>
  <c r="CW31" i="2"/>
  <c r="CH31" i="2"/>
  <c r="BS31" i="2"/>
  <c r="BA31" i="2"/>
  <c r="BA33" i="2" s="1"/>
  <c r="BA37" i="2" s="1"/>
  <c r="BA39" i="2" s="1"/>
  <c r="AL31" i="2"/>
  <c r="W31" i="2"/>
  <c r="P33" i="2"/>
  <c r="P37" i="2" s="1"/>
  <c r="P39" i="2" s="1"/>
  <c r="AO33" i="2"/>
  <c r="AO37" i="2" s="1"/>
  <c r="AO39" i="2" s="1"/>
  <c r="AH33" i="2"/>
  <c r="AH37" i="2" s="1"/>
  <c r="AH39" i="2" s="1"/>
  <c r="CS33" i="2"/>
  <c r="CS37" i="2" s="1"/>
  <c r="CS39" i="2" s="1"/>
  <c r="G31" i="2"/>
  <c r="S31" i="2"/>
  <c r="AE31" i="2"/>
  <c r="AQ31" i="2"/>
  <c r="BC31" i="2"/>
  <c r="BO31" i="2"/>
  <c r="CA31" i="2"/>
  <c r="CM31" i="2"/>
  <c r="CY31" i="2"/>
  <c r="H31" i="2"/>
  <c r="T31" i="2"/>
  <c r="AF31" i="2"/>
  <c r="AR31" i="2"/>
  <c r="BD31" i="2"/>
  <c r="BP31" i="2"/>
  <c r="CB31" i="2"/>
  <c r="CN31" i="2"/>
  <c r="CZ31" i="2"/>
  <c r="I31" i="2"/>
  <c r="U31" i="2"/>
  <c r="AG31" i="2"/>
  <c r="AS31" i="2"/>
  <c r="BE31" i="2"/>
  <c r="BQ31" i="2"/>
  <c r="CC31" i="2"/>
  <c r="CO31" i="2"/>
  <c r="CF33" i="2" l="1"/>
  <c r="CF37" i="2" s="1"/>
  <c r="CF39" i="2" s="1"/>
  <c r="BK33" i="2"/>
  <c r="BK37" i="2" s="1"/>
  <c r="BK39" i="2" s="1"/>
  <c r="AA33" i="2"/>
  <c r="AA37" i="2" s="1"/>
  <c r="AA39" i="2" s="1"/>
  <c r="Y33" i="2"/>
  <c r="Y37" i="2" s="1"/>
  <c r="Y39" i="2" s="1"/>
  <c r="BB33" i="2"/>
  <c r="BB37" i="2" s="1"/>
  <c r="BB39" i="2" s="1"/>
  <c r="W33" i="2"/>
  <c r="W37" i="2" s="1"/>
  <c r="W39" i="2" s="1"/>
  <c r="AB33" i="2"/>
  <c r="AB37" i="2" s="1"/>
  <c r="AB39" i="2" s="1"/>
  <c r="Z33" i="2"/>
  <c r="Z37" i="2" s="1"/>
  <c r="Z39" i="2" s="1"/>
  <c r="AU33" i="2"/>
  <c r="AU37" i="2" s="1"/>
  <c r="AU39" i="2" s="1"/>
  <c r="CR33" i="2"/>
  <c r="CR37" i="2" s="1"/>
  <c r="CR39" i="2" s="1"/>
  <c r="BY33" i="2"/>
  <c r="BY37" i="2" s="1"/>
  <c r="BY39" i="2" s="1"/>
  <c r="AK33" i="2"/>
  <c r="AK37" i="2" s="1"/>
  <c r="AK39" i="2" s="1"/>
  <c r="L33" i="2"/>
  <c r="L37" i="2" s="1"/>
  <c r="L39" i="2" s="1"/>
  <c r="J33" i="2"/>
  <c r="J37" i="2" s="1"/>
  <c r="J39" i="2" s="1"/>
  <c r="R33" i="2"/>
  <c r="R37" i="2" s="1"/>
  <c r="R39" i="2" s="1"/>
  <c r="DB33" i="2"/>
  <c r="DB37" i="2" s="1"/>
  <c r="DB39" i="2" s="1"/>
  <c r="AV33" i="2"/>
  <c r="AV37" i="2" s="1"/>
  <c r="AV39" i="2" s="1"/>
  <c r="AZ33" i="2"/>
  <c r="AZ37" i="2" s="1"/>
  <c r="AZ39" i="2" s="1"/>
  <c r="BV33" i="2"/>
  <c r="BV37" i="2" s="1"/>
  <c r="BV39" i="2" s="1"/>
  <c r="N33" i="2"/>
  <c r="N37" i="2" s="1"/>
  <c r="N39" i="2" s="1"/>
  <c r="K33" i="2"/>
  <c r="K37" i="2" s="1"/>
  <c r="K39" i="2" s="1"/>
  <c r="BH33" i="2"/>
  <c r="BH37" i="2" s="1"/>
  <c r="BH39" i="2" s="1"/>
  <c r="CT33" i="2"/>
  <c r="CT37" i="2" s="1"/>
  <c r="CT39" i="2" s="1"/>
  <c r="AN33" i="2"/>
  <c r="AN37" i="2" s="1"/>
  <c r="AN39" i="2" s="1"/>
  <c r="BS33" i="2"/>
  <c r="BS37" i="2" s="1"/>
  <c r="BS39" i="2" s="1"/>
  <c r="CQ33" i="2"/>
  <c r="CQ37" i="2" s="1"/>
  <c r="CQ39" i="2" s="1"/>
  <c r="CV33" i="2"/>
  <c r="CV37" i="2" s="1"/>
  <c r="CV39" i="2" s="1"/>
  <c r="CI33" i="2"/>
  <c r="CI37" i="2" s="1"/>
  <c r="CI39" i="2" s="1"/>
  <c r="AI33" i="2"/>
  <c r="AI37" i="2" s="1"/>
  <c r="AI39" i="2" s="1"/>
  <c r="CH33" i="2"/>
  <c r="CH37" i="2" s="1"/>
  <c r="CH39" i="2" s="1"/>
  <c r="BU33" i="2"/>
  <c r="BU37" i="2" s="1"/>
  <c r="BU39" i="2" s="1"/>
  <c r="CW33" i="2"/>
  <c r="CW37" i="2" s="1"/>
  <c r="CW39" i="2" s="1"/>
  <c r="CJ33" i="2"/>
  <c r="CJ37" i="2" s="1"/>
  <c r="CJ39" i="2" s="1"/>
  <c r="X33" i="2"/>
  <c r="X37" i="2" s="1"/>
  <c r="X39" i="2" s="1"/>
  <c r="AM33" i="2"/>
  <c r="AM37" i="2" s="1"/>
  <c r="AM39" i="2" s="1"/>
  <c r="BC33" i="2"/>
  <c r="BC37" i="2" s="1"/>
  <c r="BC39" i="2" s="1"/>
  <c r="AQ33" i="2"/>
  <c r="AQ37" i="2" s="1"/>
  <c r="AQ39" i="2" s="1"/>
  <c r="BP33" i="2"/>
  <c r="BP37" i="2" s="1"/>
  <c r="BP39" i="2" s="1"/>
  <c r="BD33" i="2"/>
  <c r="BD37" i="2" s="1"/>
  <c r="BD39" i="2" s="1"/>
  <c r="AR33" i="2"/>
  <c r="AR37" i="2" s="1"/>
  <c r="AR39" i="2" s="1"/>
  <c r="AF33" i="2"/>
  <c r="AF37" i="2" s="1"/>
  <c r="AF39" i="2" s="1"/>
  <c r="BE33" i="2"/>
  <c r="BE37" i="2" s="1"/>
  <c r="BE39" i="2" s="1"/>
  <c r="AS33" i="2"/>
  <c r="AS37" i="2" s="1"/>
  <c r="AS39" i="2" s="1"/>
  <c r="CB33" i="2"/>
  <c r="CB37" i="2" s="1"/>
  <c r="CB39" i="2" s="1"/>
  <c r="AE33" i="2"/>
  <c r="AE37" i="2" s="1"/>
  <c r="AE39" i="2" s="1"/>
  <c r="CO33" i="2"/>
  <c r="CO37" i="2" s="1"/>
  <c r="CO39" i="2" s="1"/>
  <c r="S33" i="2"/>
  <c r="S37" i="2" s="1"/>
  <c r="S39" i="2" s="1"/>
  <c r="CC33" i="2"/>
  <c r="CC37" i="2" s="1"/>
  <c r="CC39" i="2" s="1"/>
  <c r="G33" i="2"/>
  <c r="G37" i="2" s="1"/>
  <c r="G39" i="2" s="1"/>
  <c r="BQ33" i="2"/>
  <c r="BQ37" i="2" s="1"/>
  <c r="BQ39" i="2" s="1"/>
  <c r="T33" i="2"/>
  <c r="T37" i="2" s="1"/>
  <c r="T39" i="2" s="1"/>
  <c r="H33" i="2"/>
  <c r="H37" i="2" s="1"/>
  <c r="H39" i="2" s="1"/>
  <c r="AG33" i="2"/>
  <c r="AG37" i="2" s="1"/>
  <c r="AG39" i="2" s="1"/>
  <c r="CY33" i="2"/>
  <c r="CY37" i="2" s="1"/>
  <c r="CY39" i="2" s="1"/>
  <c r="U33" i="2"/>
  <c r="U37" i="2" s="1"/>
  <c r="U39" i="2" s="1"/>
  <c r="CM33" i="2"/>
  <c r="CM37" i="2" s="1"/>
  <c r="CM39" i="2" s="1"/>
  <c r="I33" i="2"/>
  <c r="I37" i="2" s="1"/>
  <c r="I39" i="2" s="1"/>
  <c r="CA33" i="2"/>
  <c r="CA37" i="2" s="1"/>
  <c r="CA39" i="2" s="1"/>
  <c r="CZ33" i="2"/>
  <c r="CZ37" i="2" s="1"/>
  <c r="CZ39" i="2" s="1"/>
  <c r="BO33" i="2"/>
  <c r="BO37" i="2" s="1"/>
  <c r="BO39" i="2" s="1"/>
  <c r="CN33" i="2"/>
  <c r="CN37" i="2" s="1"/>
  <c r="CN39" i="2" s="1"/>
</calcChain>
</file>

<file path=xl/sharedStrings.xml><?xml version="1.0" encoding="utf-8"?>
<sst xmlns="http://schemas.openxmlformats.org/spreadsheetml/2006/main" count="855" uniqueCount="315">
  <si>
    <t>PROJECT FINANCE MODEL  —  SOLAR IPP</t>
  </si>
  <si>
    <t>Solar Ipp Karnataka 100Mw</t>
  </si>
  <si>
    <t>KEY PERFORMANCE INDICATORS</t>
  </si>
  <si>
    <t>Equity IRR</t>
  </si>
  <si>
    <t>Project IRR</t>
  </si>
  <si>
    <t>Min DSCR</t>
  </si>
  <si>
    <t>Avg DSCR</t>
  </si>
  <si>
    <t>LLCR</t>
  </si>
  <si>
    <t>PLCR</t>
  </si>
  <si>
    <t>NPV Equity (INR Lakhs)</t>
  </si>
  <si>
    <t>Peak Debt (INR Lakhs)</t>
  </si>
  <si>
    <t>Debt Payback (years)</t>
  </si>
  <si>
    <t>PROJECT PARAMETERS</t>
  </si>
  <si>
    <t>Model ID</t>
  </si>
  <si>
    <t>solar_ipp_karnataka_100mw</t>
  </si>
  <si>
    <t>Project Type</t>
  </si>
  <si>
    <t>solar_ipp</t>
  </si>
  <si>
    <t>Currency</t>
  </si>
  <si>
    <t>INR Lakhs</t>
  </si>
  <si>
    <t>Periods per Year</t>
  </si>
  <si>
    <t>Construction Periods</t>
  </si>
  <si>
    <t>Operations Periods</t>
  </si>
  <si>
    <t>Total Periods</t>
  </si>
  <si>
    <t>COD Period</t>
  </si>
  <si>
    <t>Debt Maturity Period</t>
  </si>
  <si>
    <t>Report Date</t>
  </si>
  <si>
    <t>28-Mar-2026</t>
  </si>
  <si>
    <t>KEY ASSUMPTIONS</t>
  </si>
  <si>
    <t>Installed Capacity</t>
  </si>
  <si>
    <t>MW</t>
  </si>
  <si>
    <t>CUF (P50)</t>
  </si>
  <si>
    <t>ratio</t>
  </si>
  <si>
    <t>Degradation Rate (p.a.)</t>
  </si>
  <si>
    <t>per year</t>
  </si>
  <si>
    <t>PPA Tariff</t>
  </si>
  <si>
    <t>INR/kWh</t>
  </si>
  <si>
    <t>Tariff Escalation</t>
  </si>
  <si>
    <t>p.a.</t>
  </si>
  <si>
    <t>Capex per MW</t>
  </si>
  <si>
    <t>INR Lakh/MW</t>
  </si>
  <si>
    <t>Total Capex</t>
  </si>
  <si>
    <t>Debt %</t>
  </si>
  <si>
    <t>Interest Rate</t>
  </si>
  <si>
    <t>Debt Tenor</t>
  </si>
  <si>
    <t>years</t>
  </si>
  <si>
    <t>Moratorium Periods</t>
  </si>
  <si>
    <t>quarters</t>
  </si>
  <si>
    <t>DSCR Target</t>
  </si>
  <si>
    <t>x</t>
  </si>
  <si>
    <t>DSRA Cover</t>
  </si>
  <si>
    <t>months</t>
  </si>
  <si>
    <t>Tax Rate</t>
  </si>
  <si>
    <t>effective</t>
  </si>
  <si>
    <t>Depreciation Method</t>
  </si>
  <si>
    <t>slm</t>
  </si>
  <si>
    <t>Equity IRR Target</t>
  </si>
  <si>
    <t>hurdle</t>
  </si>
  <si>
    <t>SCENARIO SUMMARY</t>
  </si>
  <si>
    <t>Scenario</t>
  </si>
  <si>
    <t>NPV Equity (L)</t>
  </si>
  <si>
    <t>Base Case</t>
  </si>
  <si>
    <t>Management Case</t>
  </si>
  <si>
    <t>Downside Case</t>
  </si>
  <si>
    <t>Construction Stress</t>
  </si>
  <si>
    <t>Interest Rate Stress</t>
  </si>
  <si>
    <t>Combined Stress</t>
  </si>
  <si>
    <t>Upside Case</t>
  </si>
  <si>
    <t>INCOME STATEMENT</t>
  </si>
  <si>
    <t>Line Item</t>
  </si>
  <si>
    <t>Unit</t>
  </si>
  <si>
    <t>Q1 CON</t>
  </si>
  <si>
    <t>Q2 CON</t>
  </si>
  <si>
    <t>Q3 CON</t>
  </si>
  <si>
    <t>Q4 CON</t>
  </si>
  <si>
    <t>Q1 OPS</t>
  </si>
  <si>
    <t>Q2 OPS</t>
  </si>
  <si>
    <t>Q3 OPS</t>
  </si>
  <si>
    <t>Q4 OPS</t>
  </si>
  <si>
    <t>Q5 OPS</t>
  </si>
  <si>
    <t>Q6 OPS</t>
  </si>
  <si>
    <t>Q7 OPS</t>
  </si>
  <si>
    <t>Q8 OPS</t>
  </si>
  <si>
    <t>Q9 OPS</t>
  </si>
  <si>
    <t>Q10 OPS</t>
  </si>
  <si>
    <t>Q11 OPS</t>
  </si>
  <si>
    <t>Q12 OPS</t>
  </si>
  <si>
    <t>Q13 OPS</t>
  </si>
  <si>
    <t>Q14 OPS</t>
  </si>
  <si>
    <t>Q15 OPS</t>
  </si>
  <si>
    <t>Q16 OPS</t>
  </si>
  <si>
    <t>Q17 OPS</t>
  </si>
  <si>
    <t>Q18 OPS</t>
  </si>
  <si>
    <t>Q19 OPS</t>
  </si>
  <si>
    <t>Q20 OPS</t>
  </si>
  <si>
    <t>Q21 OPS</t>
  </si>
  <si>
    <t>Q22 OPS</t>
  </si>
  <si>
    <t>Q23 OPS</t>
  </si>
  <si>
    <t>Q24 OPS</t>
  </si>
  <si>
    <t>Q25 OPS</t>
  </si>
  <si>
    <t>Q26 OPS</t>
  </si>
  <si>
    <t>Q27 OPS</t>
  </si>
  <si>
    <t>Q28 OPS</t>
  </si>
  <si>
    <t>Q29 OPS</t>
  </si>
  <si>
    <t>Q30 OPS</t>
  </si>
  <si>
    <t>Q31 OPS</t>
  </si>
  <si>
    <t>Q32 OPS</t>
  </si>
  <si>
    <t>Q33 OPS</t>
  </si>
  <si>
    <t>Q34 OPS</t>
  </si>
  <si>
    <t>Q35 OPS</t>
  </si>
  <si>
    <t>Q36 OPS</t>
  </si>
  <si>
    <t>Q37 OPS</t>
  </si>
  <si>
    <t>Q38 OPS</t>
  </si>
  <si>
    <t>Q39 OPS</t>
  </si>
  <si>
    <t>Q40 OPS</t>
  </si>
  <si>
    <t>Q41 OPS</t>
  </si>
  <si>
    <t>Q42 OPS</t>
  </si>
  <si>
    <t>Q43 OPS</t>
  </si>
  <si>
    <t>Q44 OPS</t>
  </si>
  <si>
    <t>Q45 OPS</t>
  </si>
  <si>
    <t>Q46 OPS</t>
  </si>
  <si>
    <t>Q47 OPS</t>
  </si>
  <si>
    <t>Q48 OPS</t>
  </si>
  <si>
    <t>Q49 OPS</t>
  </si>
  <si>
    <t>Q50 OPS</t>
  </si>
  <si>
    <t>Q51 OPS</t>
  </si>
  <si>
    <t>Q52 OPS</t>
  </si>
  <si>
    <t>Q53 OPS</t>
  </si>
  <si>
    <t>Q54 OPS</t>
  </si>
  <si>
    <t>Q55 OPS</t>
  </si>
  <si>
    <t>Q56 OPS</t>
  </si>
  <si>
    <t>Q57 OPS</t>
  </si>
  <si>
    <t>Q58 OPS</t>
  </si>
  <si>
    <t>Q59 OPS</t>
  </si>
  <si>
    <t>Q60 OPS</t>
  </si>
  <si>
    <t>Q61 OPS</t>
  </si>
  <si>
    <t>Q62 OPS</t>
  </si>
  <si>
    <t>Q63 OPS</t>
  </si>
  <si>
    <t>Q64 OPS</t>
  </si>
  <si>
    <t>Q65 OPS</t>
  </si>
  <si>
    <t>Q66 OPS</t>
  </si>
  <si>
    <t>Q67 OPS</t>
  </si>
  <si>
    <t>Q68 OPS</t>
  </si>
  <si>
    <t>Q69 OPS</t>
  </si>
  <si>
    <t>Q70 OPS</t>
  </si>
  <si>
    <t>Q71 OPS</t>
  </si>
  <si>
    <t>Q72 OPS</t>
  </si>
  <si>
    <t>Q73 OPS</t>
  </si>
  <si>
    <t>Q74 OPS</t>
  </si>
  <si>
    <t>Q75 OPS</t>
  </si>
  <si>
    <t>Q76 OPS</t>
  </si>
  <si>
    <t>Q77 OPS</t>
  </si>
  <si>
    <t>Q78 OPS</t>
  </si>
  <si>
    <t>Q79 OPS</t>
  </si>
  <si>
    <t>Q80 OPS</t>
  </si>
  <si>
    <t>Q81 OPS</t>
  </si>
  <si>
    <t>Q82 OPS</t>
  </si>
  <si>
    <t>Q83 OPS</t>
  </si>
  <si>
    <t>Q84 OPS</t>
  </si>
  <si>
    <t>Q85 OPS</t>
  </si>
  <si>
    <t>Q86 OPS</t>
  </si>
  <si>
    <t>Q87 OPS</t>
  </si>
  <si>
    <t>Q88 OPS</t>
  </si>
  <si>
    <t>Q89 OPS</t>
  </si>
  <si>
    <t>Q90 OPS</t>
  </si>
  <si>
    <t>Q91 OPS</t>
  </si>
  <si>
    <t>Q92 OPS</t>
  </si>
  <si>
    <t>Q93 OPS</t>
  </si>
  <si>
    <t>Q94 OPS</t>
  </si>
  <si>
    <t>Q95 OPS</t>
  </si>
  <si>
    <t>Q96 OPS</t>
  </si>
  <si>
    <t>Q97 OPS</t>
  </si>
  <si>
    <t>Q98 OPS</t>
  </si>
  <si>
    <t>Q99 OPS</t>
  </si>
  <si>
    <t>Q100 OPS</t>
  </si>
  <si>
    <t>REVENUE</t>
  </si>
  <si>
    <t xml:space="preserve">    Net Generation</t>
  </si>
  <si>
    <t>kWh</t>
  </si>
  <si>
    <t xml:space="preserve">    PPA Revenue</t>
  </si>
  <si>
    <t>OPERATING COSTS</t>
  </si>
  <si>
    <t xml:space="preserve">    Base O&amp;M</t>
  </si>
  <si>
    <t xml:space="preserve">    Insurance</t>
  </si>
  <si>
    <t xml:space="preserve">    Land Lease</t>
  </si>
  <si>
    <t>Total OPEX</t>
  </si>
  <si>
    <t>EBITDA</t>
  </si>
  <si>
    <t>BELOW-THE-LINE (P&amp;L)</t>
  </si>
  <si>
    <t xml:space="preserve">    Depreciation</t>
  </si>
  <si>
    <t>EBIT</t>
  </si>
  <si>
    <t xml:space="preserve">    Interest Expense</t>
  </si>
  <si>
    <t>PBT</t>
  </si>
  <si>
    <t xml:space="preserve">    Tax</t>
  </si>
  <si>
    <t>PAT  (PBT − Tax)</t>
  </si>
  <si>
    <t>EBITDA MARGIN</t>
  </si>
  <si>
    <t xml:space="preserve">    EBITDA Margin %</t>
  </si>
  <si>
    <t>%</t>
  </si>
  <si>
    <t>CASH FLOW</t>
  </si>
  <si>
    <t>OPERATING CASH FLOW</t>
  </si>
  <si>
    <t xml:space="preserve">    Tax Paid</t>
  </si>
  <si>
    <t xml:space="preserve">    Maintenance Capex</t>
  </si>
  <si>
    <t>CFADS  (pre-debt-svc)</t>
  </si>
  <si>
    <t>DEBT SERVICE</t>
  </si>
  <si>
    <t xml:space="preserve">    Interest</t>
  </si>
  <si>
    <t xml:space="preserve">    Principal Repayment</t>
  </si>
  <si>
    <t>Total Debt Service</t>
  </si>
  <si>
    <t>DSCR</t>
  </si>
  <si>
    <t>FREE &amp; EQUITY CASHFLOWS</t>
  </si>
  <si>
    <t>Free Cashflow  (post-DS)</t>
  </si>
  <si>
    <t xml:space="preserve">    DSRA Funding</t>
  </si>
  <si>
    <t xml:space="preserve">    Cash Sweep</t>
  </si>
  <si>
    <t xml:space="preserve">    Equity Distribution</t>
  </si>
  <si>
    <t>IRR CASHFLOWS</t>
  </si>
  <si>
    <t xml:space="preserve">    Equity Invested  (−ve)</t>
  </si>
  <si>
    <t>Equity Cashflow</t>
  </si>
  <si>
    <t>Project Cashflow</t>
  </si>
  <si>
    <t>CONSTRUCTION FINANCING</t>
  </si>
  <si>
    <t xml:space="preserve">    Capex Drawdown</t>
  </si>
  <si>
    <t xml:space="preserve">    Debt Drawdown</t>
  </si>
  <si>
    <t xml:space="preserve">    IDC  (interest during construction)</t>
  </si>
  <si>
    <t>Cumulative Capex</t>
  </si>
  <si>
    <t>DEBT SCHEDULE</t>
  </si>
  <si>
    <t>DEBT SIZING</t>
  </si>
  <si>
    <t>Total Project Cost</t>
  </si>
  <si>
    <t xml:space="preserve">    Debt Amount</t>
  </si>
  <si>
    <t xml:space="preserve">    Equity Amount</t>
  </si>
  <si>
    <t>CONSTRUCTION DRAWDOWN</t>
  </si>
  <si>
    <t>Cumulative Drawdown</t>
  </si>
  <si>
    <t>DEBT SERVICE SCHEDULE</t>
  </si>
  <si>
    <t xml:space="preserve">    Opening Balance</t>
  </si>
  <si>
    <t xml:space="preserve">    Interest Charge</t>
  </si>
  <si>
    <t>Closing Balance</t>
  </si>
  <si>
    <t>DEBT SERVICE RESERVE ACCOUNT</t>
  </si>
  <si>
    <t xml:space="preserve">    DSRA Required</t>
  </si>
  <si>
    <t>GENERATION &amp; REVENUE</t>
  </si>
  <si>
    <t>SOLAR GENERATION</t>
  </si>
  <si>
    <t xml:space="preserve">    Gross Generation</t>
  </si>
  <si>
    <t>Net Generation</t>
  </si>
  <si>
    <t xml:space="preserve">    Effective Tariff</t>
  </si>
  <si>
    <t>PPA Revenue</t>
  </si>
  <si>
    <t>DEPRECIATION SCHEDULE</t>
  </si>
  <si>
    <t xml:space="preserve">    Depreciable Asset Base</t>
  </si>
  <si>
    <t>Depreciation Charge</t>
  </si>
  <si>
    <t>WATERFALL</t>
  </si>
  <si>
    <t>CASH WATERFALL  (5-BUCKET PRIORITY ALLOCATION)</t>
  </si>
  <si>
    <t>Available Cash  (Revenue)</t>
  </si>
  <si>
    <t xml:space="preserve">    1. OPEX Payment</t>
  </si>
  <si>
    <t xml:space="preserve">   Remaining after OPEX</t>
  </si>
  <si>
    <t xml:space="preserve">    2. Senior Debt Service</t>
  </si>
  <si>
    <t xml:space="preserve">   Remaining after DS</t>
  </si>
  <si>
    <t xml:space="preserve">    3. DSRA Funding</t>
  </si>
  <si>
    <t xml:space="preserve">   Remaining after DSRA</t>
  </si>
  <si>
    <t xml:space="preserve">    4. Cash Sweep</t>
  </si>
  <si>
    <t>5. Equity Distribution</t>
  </si>
  <si>
    <t>Total Allocated</t>
  </si>
  <si>
    <t>Check  (Revenue − Allocated)</t>
  </si>
  <si>
    <t>SENSITIVITY ANALYSIS  —  TORNADO CHART  (Equity IRR)</t>
  </si>
  <si>
    <t>Base-Case Equity IRR</t>
  </si>
  <si>
    <t>Assumption</t>
  </si>
  <si>
    <t>Low Value  (IRR)</t>
  </si>
  <si>
    <t>Base  (IRR)</t>
  </si>
  <si>
    <t>High Value  (IRR)</t>
  </si>
  <si>
    <t>Swing  (High−Low)</t>
  </si>
  <si>
    <t>Direction</t>
  </si>
  <si>
    <t>cuf</t>
  </si>
  <si>
    <t>Positive</t>
  </si>
  <si>
    <t>tariff</t>
  </si>
  <si>
    <t>capex_per_mw</t>
  </si>
  <si>
    <t>Negative</t>
  </si>
  <si>
    <t>opex_per_mw_pa</t>
  </si>
  <si>
    <t>degradation_rate</t>
  </si>
  <si>
    <t>interest_rate</t>
  </si>
  <si>
    <t>debt_pct</t>
  </si>
  <si>
    <t>EFFECTIVE ASSUMPTIONS  —  BASE CASE RUN</t>
  </si>
  <si>
    <t>Value</t>
  </si>
  <si>
    <t>Schema Default</t>
  </si>
  <si>
    <t>auxiliary_consumption</t>
  </si>
  <si>
    <t>capacity_mw</t>
  </si>
  <si>
    <t>INR_Lakhs_per_MW</t>
  </si>
  <si>
    <t>capex_schedule</t>
  </si>
  <si>
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</si>
  <si>
    <t>fraction</t>
  </si>
  <si>
    <t>[0.25, 0.25, 0.25, 0.25]</t>
  </si>
  <si>
    <t>cash_sweep_rate</t>
  </si>
  <si>
    <t>debt_sizing_mode</t>
  </si>
  <si>
    <t>flag</t>
  </si>
  <si>
    <t>per_year</t>
  </si>
  <si>
    <t>depreciation_method</t>
  </si>
  <si>
    <t>string</t>
  </si>
  <si>
    <t>depreciation_rate</t>
  </si>
  <si>
    <t>dscr_target</t>
  </si>
  <si>
    <t>dsra_months</t>
  </si>
  <si>
    <t>equity_irr_target</t>
  </si>
  <si>
    <t>idc_capitalised</t>
  </si>
  <si>
    <t>idc_supplement</t>
  </si>
  <si>
    <t>INR_Lakhs</t>
  </si>
  <si>
    <t>insurance_percent_of_capex</t>
  </si>
  <si>
    <t>land_lease_lakhs_pa</t>
  </si>
  <si>
    <t>INR_Lakhs_per_year</t>
  </si>
  <si>
    <t>maintenance_capex_pct</t>
  </si>
  <si>
    <t>moratorium_periods</t>
  </si>
  <si>
    <t>opex_escalation</t>
  </si>
  <si>
    <t>INR_Lakhs_per_MW_per_year</t>
  </si>
  <si>
    <t>ppa_tenor_years</t>
  </si>
  <si>
    <t>INR_per_kWh</t>
  </si>
  <si>
    <t>tariff_escalation</t>
  </si>
  <si>
    <t>tax_rate</t>
  </si>
  <si>
    <t>use_wdv</t>
  </si>
  <si>
    <t>wdv_rate</t>
  </si>
  <si>
    <t>Total Opex</t>
  </si>
  <si>
    <t>Depreciation</t>
  </si>
  <si>
    <t>Interest</t>
  </si>
  <si>
    <t>Cashflow</t>
  </si>
  <si>
    <t>Tax</t>
  </si>
  <si>
    <t>PAT</t>
  </si>
  <si>
    <t>Add: Dep</t>
  </si>
  <si>
    <t>Less: Repayment</t>
  </si>
  <si>
    <t>FCFE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</si>
</sst>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"/>
    <numFmt numFmtId="166" formatCode="0.0%"/>
    <numFmt numFmtId="167" formatCode="0.0000"/>
    <numFmt numFmtId="168" formatCode="0.0"/>
  </numFmts>
  <fonts count="1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2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i/>
      <sz val="9"/>
      <color rgb="FF666666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13"/>
      <color rgb="FFFFFFFF"/>
      <name val="Calibri"/>
    </font>
    <font>
      <b/>
      <sz val="9"/>
      <color rgb="FF000000"/>
      <name val="Calibri"/>
    </font>
    <font>
      <b/>
      <sz val="8"/>
      <color rgb="FFFFFFFF"/>
      <name val="Calibri"/>
    </font>
    <font>
      <b/>
      <sz val="8"/>
      <color rgb="FF1F3864"/>
      <name val="Calibri"/>
    </font>
    <font>
      <b/>
      <sz val="10"/>
      <color rgb="FFFFFFFF"/>
      <name val="Calibri"/>
    </font>
    <font>
      <i/>
      <sz val="8"/>
      <color rgb="FF666666"/>
      <name val="Calibri"/>
    </font>
    <font>
      <i/>
      <sz val="8"/>
      <color rgb="FF000000"/>
      <name val="Calibri"/>
    </font>
    <font>
      <sz val="9"/>
      <color rgb="FF999999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F2F2F2"/>
      </patternFill>
    </fill>
    <fill>
      <patternFill patternType="solid">
        <fgColor rgb="FFFFE0E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68">
    <xf numFmtId="0" fontId="0" fillId="0" borderId="0" xfId="0"/>
    <xf numFmtId="0" fontId="4" fillId="4" borderId="0" xfId="0" applyFont="1" applyFill="1"/>
    <xf numFmtId="10" fontId="5" fillId="5" borderId="0" xfId="0" applyNumberFormat="1" applyFont="1" applyFill="1"/>
    <xf numFmtId="164" fontId="5" fillId="5" borderId="0" xfId="0" applyNumberFormat="1" applyFont="1" applyFill="1"/>
    <xf numFmtId="165" fontId="5" fillId="5" borderId="0" xfId="0" applyNumberFormat="1" applyFont="1" applyFill="1"/>
    <xf numFmtId="165" fontId="5" fillId="6" borderId="0" xfId="0" applyNumberFormat="1" applyFont="1" applyFill="1"/>
    <xf numFmtId="2" fontId="5" fillId="7" borderId="0" xfId="0" applyNumberFormat="1" applyFont="1" applyFill="1"/>
    <xf numFmtId="49" fontId="4" fillId="0" borderId="0" xfId="0" applyNumberFormat="1" applyFont="1"/>
    <xf numFmtId="3" fontId="4" fillId="0" borderId="0" xfId="0" applyNumberFormat="1" applyFont="1"/>
    <xf numFmtId="0" fontId="6" fillId="0" borderId="0" xfId="0" applyFont="1"/>
    <xf numFmtId="10" fontId="4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0" fontId="7" fillId="2" borderId="0" xfId="0" applyFont="1" applyFill="1" applyAlignment="1">
      <alignment horizontal="center"/>
    </xf>
    <xf numFmtId="49" fontId="8" fillId="0" borderId="0" xfId="0" applyNumberFormat="1" applyFont="1"/>
    <xf numFmtId="10" fontId="8" fillId="0" borderId="0" xfId="0" applyNumberFormat="1" applyFont="1"/>
    <xf numFmtId="164" fontId="8" fillId="5" borderId="0" xfId="0" applyNumberFormat="1" applyFont="1" applyFill="1"/>
    <xf numFmtId="164" fontId="8" fillId="0" borderId="0" xfId="0" applyNumberFormat="1" applyFont="1"/>
    <xf numFmtId="3" fontId="8" fillId="0" borderId="0" xfId="0" applyNumberFormat="1" applyFont="1"/>
    <xf numFmtId="164" fontId="8" fillId="6" borderId="0" xfId="0" applyNumberFormat="1" applyFont="1" applyFill="1"/>
    <xf numFmtId="0" fontId="10" fillId="8" borderId="0" xfId="0" applyFont="1" applyFill="1"/>
    <xf numFmtId="0" fontId="11" fillId="2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8" fillId="4" borderId="0" xfId="0" applyFont="1" applyFill="1" applyAlignment="1">
      <alignment horizontal="left"/>
    </xf>
    <xf numFmtId="0" fontId="14" fillId="4" borderId="0" xfId="0" applyFont="1" applyFill="1"/>
    <xf numFmtId="3" fontId="8" fillId="9" borderId="0" xfId="0" applyNumberFormat="1" applyFont="1" applyFill="1" applyAlignment="1">
      <alignment horizontal="right"/>
    </xf>
    <xf numFmtId="0" fontId="10" fillId="9" borderId="0" xfId="0" applyFont="1" applyFill="1" applyAlignment="1">
      <alignment horizontal="left"/>
    </xf>
    <xf numFmtId="0" fontId="14" fillId="9" borderId="0" xfId="0" applyFont="1" applyFill="1"/>
    <xf numFmtId="165" fontId="10" fillId="10" borderId="0" xfId="0" applyNumberFormat="1" applyFont="1" applyFill="1" applyAlignment="1">
      <alignment horizontal="right"/>
    </xf>
    <xf numFmtId="165" fontId="8" fillId="9" borderId="0" xfId="0" applyNumberFormat="1" applyFont="1" applyFill="1" applyAlignment="1">
      <alignment horizontal="right"/>
    </xf>
    <xf numFmtId="165" fontId="8" fillId="10" borderId="0" xfId="0" applyNumberFormat="1" applyFont="1" applyFill="1" applyAlignment="1">
      <alignment horizontal="right"/>
    </xf>
    <xf numFmtId="166" fontId="8" fillId="9" borderId="0" xfId="0" applyNumberFormat="1" applyFont="1" applyFill="1" applyAlignment="1">
      <alignment horizontal="right"/>
    </xf>
    <xf numFmtId="165" fontId="10" fillId="9" borderId="0" xfId="0" applyNumberFormat="1" applyFont="1" applyFill="1" applyAlignment="1">
      <alignment horizontal="right"/>
    </xf>
    <xf numFmtId="0" fontId="10" fillId="9" borderId="0" xfId="0" applyFont="1" applyFill="1"/>
    <xf numFmtId="0" fontId="15" fillId="9" borderId="0" xfId="0" applyFont="1" applyFill="1"/>
    <xf numFmtId="0" fontId="0" fillId="10" borderId="0" xfId="0" applyFill="1"/>
    <xf numFmtId="164" fontId="10" fillId="5" borderId="0" xfId="0" applyNumberFormat="1" applyFont="1" applyFill="1"/>
    <xf numFmtId="164" fontId="10" fillId="6" borderId="0" xfId="0" applyNumberFormat="1" applyFont="1" applyFill="1"/>
    <xf numFmtId="164" fontId="10" fillId="7" borderId="0" xfId="0" applyNumberFormat="1" applyFont="1" applyFill="1"/>
    <xf numFmtId="3" fontId="10" fillId="10" borderId="0" xfId="0" applyNumberFormat="1" applyFont="1" applyFill="1" applyAlignment="1">
      <alignment horizontal="right"/>
    </xf>
    <xf numFmtId="167" fontId="8" fillId="9" borderId="0" xfId="0" applyNumberFormat="1" applyFont="1" applyFill="1" applyAlignment="1">
      <alignment horizontal="right"/>
    </xf>
    <xf numFmtId="0" fontId="5" fillId="0" borderId="0" xfId="0" applyFont="1"/>
    <xf numFmtId="10" fontId="5" fillId="0" borderId="0" xfId="0" applyNumberFormat="1" applyFont="1"/>
    <xf numFmtId="49" fontId="8" fillId="9" borderId="0" xfId="0" applyNumberFormat="1" applyFont="1" applyFill="1"/>
    <xf numFmtId="10" fontId="8" fillId="9" borderId="0" xfId="0" applyNumberFormat="1" applyFont="1" applyFill="1"/>
    <xf numFmtId="10" fontId="8" fillId="7" borderId="0" xfId="0" applyNumberFormat="1" applyFont="1" applyFill="1"/>
    <xf numFmtId="49" fontId="8" fillId="10" borderId="0" xfId="0" applyNumberFormat="1" applyFont="1" applyFill="1"/>
    <xf numFmtId="10" fontId="8" fillId="10" borderId="0" xfId="0" applyNumberFormat="1" applyFont="1" applyFill="1"/>
    <xf numFmtId="10" fontId="8" fillId="5" borderId="0" xfId="0" applyNumberFormat="1" applyFont="1" applyFill="1"/>
    <xf numFmtId="0" fontId="7" fillId="2" borderId="0" xfId="0" applyFont="1" applyFill="1"/>
    <xf numFmtId="0" fontId="8" fillId="4" borderId="0" xfId="0" applyFont="1" applyFill="1"/>
    <xf numFmtId="0" fontId="8" fillId="0" borderId="0" xfId="0" applyFont="1"/>
    <xf numFmtId="0" fontId="16" fillId="0" borderId="0" xfId="0" applyFont="1"/>
    <xf numFmtId="0" fontId="10" fillId="4" borderId="0" xfId="0" applyFont="1" applyFill="1"/>
    <xf numFmtId="0" fontId="10" fillId="6" borderId="0" xfId="0" applyFont="1" applyFill="1"/>
    <xf numFmtId="0" fontId="3" fillId="3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2" fontId="0" fillId="0" borderId="0" xfId="0" applyNumberFormat="1"/>
    <xf numFmtId="168" fontId="0" fillId="0" borderId="0" xfId="0" applyNumberFormat="1"/>
    <xf numFmtId="1" fontId="0" fillId="0" borderId="0" xfId="0" applyNumberFormat="1"/>
    <xf numFmtId="10" fontId="0" fillId="0" borderId="0" xfId="1" applyNumberFormat="1" applyFont="1"/>
    <xf numFmtId="3" fontId="0" fillId="0" borderId="0" xfId="0" applyNumberFormat="1"/>
    <xf numFmtId="0" fontId="1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Equity IRR Sensitivity — Tornado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Low scenario IRR</c:v>
          </c:tx>
          <c:spPr>
            <a:ln>
              <a:prstDash val="solid"/>
            </a:ln>
          </c:spPr>
          <c:invertIfNegative val="1"/>
          <c:cat>
            <c:strRef>
              <c:f>Sensitivity!$A$6:$A$12</c:f>
              <c:strCache>
                <c:ptCount val="7"/>
                <c:pt idx="0">
                  <c:v>cuf</c:v>
                </c:pt>
                <c:pt idx="1">
                  <c:v>tariff</c:v>
                </c:pt>
                <c:pt idx="2">
                  <c:v>capex_per_mw</c:v>
                </c:pt>
                <c:pt idx="3">
                  <c:v>opex_per_mw_pa</c:v>
                </c:pt>
                <c:pt idx="4">
                  <c:v>degradation_rate</c:v>
                </c:pt>
                <c:pt idx="5">
                  <c:v>interest_rate</c:v>
                </c:pt>
                <c:pt idx="6">
                  <c:v>debt_pct</c:v>
                </c:pt>
              </c:strCache>
            </c:strRef>
          </c:cat>
          <c:val>
            <c:numRef>
              <c:f>Sensitivity!$B$6:$B$12</c:f>
              <c:numCache>
                <c:formatCode>0.00%</c:formatCode>
                <c:ptCount val="7"/>
                <c:pt idx="0">
                  <c:v>-1.1650830292527781E-3</c:v>
                </c:pt>
                <c:pt idx="1">
                  <c:v>6.9656989486244214E-4</c:v>
                </c:pt>
                <c:pt idx="2">
                  <c:v>5.4375458024150232E-2</c:v>
                </c:pt>
                <c:pt idx="3">
                  <c:v>3.8014727749703818E-2</c:v>
                </c:pt>
                <c:pt idx="4">
                  <c:v>3.1773716991752909E-2</c:v>
                </c:pt>
                <c:pt idx="5">
                  <c:v>3.1528767943329587E-2</c:v>
                </c:pt>
                <c:pt idx="6">
                  <c:v>2.7207539348557349E-2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6-4D69-A5E9-FA7E5BA04CE6}"/>
            </c:ext>
          </c:extLst>
        </c:ser>
        <c:ser>
          <c:idx val="1"/>
          <c:order val="1"/>
          <c:tx>
            <c:v>High scenario IRR</c:v>
          </c:tx>
          <c:spPr>
            <a:ln>
              <a:prstDash val="solid"/>
            </a:ln>
          </c:spPr>
          <c:invertIfNegative val="1"/>
          <c:cat>
            <c:strRef>
              <c:f>Sensitivity!$A$6:$A$12</c:f>
              <c:strCache>
                <c:ptCount val="7"/>
                <c:pt idx="0">
                  <c:v>cuf</c:v>
                </c:pt>
                <c:pt idx="1">
                  <c:v>tariff</c:v>
                </c:pt>
                <c:pt idx="2">
                  <c:v>capex_per_mw</c:v>
                </c:pt>
                <c:pt idx="3">
                  <c:v>opex_per_mw_pa</c:v>
                </c:pt>
                <c:pt idx="4">
                  <c:v>degradation_rate</c:v>
                </c:pt>
                <c:pt idx="5">
                  <c:v>interest_rate</c:v>
                </c:pt>
                <c:pt idx="6">
                  <c:v>debt_pct</c:v>
                </c:pt>
              </c:strCache>
            </c:strRef>
          </c:cat>
          <c:val>
            <c:numRef>
              <c:f>Sensitivity!$D$6:$D$12</c:f>
              <c:numCache>
                <c:formatCode>0.00%</c:formatCode>
                <c:ptCount val="7"/>
                <c:pt idx="0">
                  <c:v>6.3430686458018082E-2</c:v>
                </c:pt>
                <c:pt idx="1">
                  <c:v>6.0745528607181631E-2</c:v>
                </c:pt>
                <c:pt idx="2">
                  <c:v>1.193383625274858E-2</c:v>
                </c:pt>
                <c:pt idx="3">
                  <c:v>2.797018885630775E-3</c:v>
                </c:pt>
                <c:pt idx="4">
                  <c:v>1.89628602088181E-2</c:v>
                </c:pt>
                <c:pt idx="5">
                  <c:v>2.2342422505788662E-2</c:v>
                </c:pt>
                <c:pt idx="6">
                  <c:v>3.5420938890948772E-2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6-4D69-A5E9-FA7E5BA04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Equity IRR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Assumption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79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showGridLines="0" workbookViewId="0">
      <pane ySplit="2" topLeftCell="A32" activePane="bottomLeft" state="frozen"/>
      <selection pane="bottomLeft" activeCell="A59" sqref="A59"/>
    </sheetView>
  </sheetViews>
  <sheetFormatPr defaultRowHeight="14.25" x14ac:dyDescent="0.45"/>
  <cols>
    <col min="1" max="1" width="30" customWidth="1"/>
    <col min="2" max="2" width="18" customWidth="1"/>
    <col min="3" max="3" width="16" customWidth="1"/>
  </cols>
  <sheetData>
    <row r="1" spans="1:8" ht="40.049999999999997" customHeight="1" x14ac:dyDescent="0.45">
      <c r="A1" s="59" t="s">
        <v>0</v>
      </c>
      <c r="B1" s="57"/>
      <c r="C1" s="57"/>
      <c r="D1" s="57"/>
      <c r="E1" s="57"/>
      <c r="F1" s="57"/>
      <c r="G1" s="57"/>
      <c r="H1" s="57"/>
    </row>
    <row r="2" spans="1:8" ht="22.05" customHeight="1" x14ac:dyDescent="0.45">
      <c r="A2" s="58" t="s">
        <v>1</v>
      </c>
      <c r="B2" s="57"/>
      <c r="C2" s="57"/>
      <c r="D2" s="57"/>
      <c r="E2" s="57"/>
      <c r="F2" s="57"/>
      <c r="G2" s="57"/>
      <c r="H2" s="57"/>
    </row>
    <row r="4" spans="1:8" ht="20" customHeight="1" x14ac:dyDescent="0.45">
      <c r="A4" s="56" t="s">
        <v>2</v>
      </c>
      <c r="B4" s="57"/>
      <c r="C4" s="57"/>
      <c r="D4" s="57"/>
      <c r="E4" s="57"/>
      <c r="F4" s="57"/>
      <c r="G4" s="57"/>
      <c r="H4" s="57"/>
    </row>
    <row r="5" spans="1:8" x14ac:dyDescent="0.45">
      <c r="A5" s="1" t="s">
        <v>3</v>
      </c>
      <c r="B5" s="2">
        <v>2.6700163710947189E-2</v>
      </c>
    </row>
    <row r="6" spans="1:8" x14ac:dyDescent="0.45">
      <c r="A6" s="1" t="s">
        <v>4</v>
      </c>
      <c r="B6" s="2">
        <v>5.7218072327842817E-2</v>
      </c>
    </row>
    <row r="7" spans="1:8" x14ac:dyDescent="0.45">
      <c r="A7" s="1" t="s">
        <v>5</v>
      </c>
      <c r="B7" s="3">
        <v>0.84987987249707886</v>
      </c>
    </row>
    <row r="8" spans="1:8" x14ac:dyDescent="0.45">
      <c r="A8" s="1" t="s">
        <v>6</v>
      </c>
      <c r="B8" s="3">
        <v>1.1216402023972489</v>
      </c>
    </row>
    <row r="9" spans="1:8" x14ac:dyDescent="0.45">
      <c r="A9" s="1" t="s">
        <v>7</v>
      </c>
      <c r="B9" s="3">
        <v>0.99726595546437924</v>
      </c>
    </row>
    <row r="10" spans="1:8" x14ac:dyDescent="0.45">
      <c r="A10" s="1" t="s">
        <v>8</v>
      </c>
      <c r="B10" s="3">
        <v>1.076737012219062</v>
      </c>
    </row>
    <row r="11" spans="1:8" x14ac:dyDescent="0.45">
      <c r="A11" s="1" t="s">
        <v>9</v>
      </c>
      <c r="B11" s="4">
        <v>-11540.73735579672</v>
      </c>
    </row>
    <row r="12" spans="1:8" x14ac:dyDescent="0.45">
      <c r="A12" s="1" t="s">
        <v>10</v>
      </c>
      <c r="B12" s="5">
        <v>31500</v>
      </c>
    </row>
    <row r="13" spans="1:8" x14ac:dyDescent="0.45">
      <c r="A13" s="1" t="s">
        <v>11</v>
      </c>
      <c r="B13" s="6">
        <v>18</v>
      </c>
    </row>
    <row r="15" spans="1:8" ht="20" customHeight="1" x14ac:dyDescent="0.45">
      <c r="A15" s="56" t="s">
        <v>12</v>
      </c>
      <c r="B15" s="57"/>
      <c r="C15" s="57"/>
      <c r="D15" s="57"/>
      <c r="E15" s="57"/>
      <c r="F15" s="57"/>
      <c r="G15" s="57"/>
      <c r="H15" s="57"/>
    </row>
    <row r="16" spans="1:8" x14ac:dyDescent="0.45">
      <c r="A16" s="1" t="s">
        <v>13</v>
      </c>
      <c r="B16" s="7" t="s">
        <v>14</v>
      </c>
    </row>
    <row r="17" spans="1:8" x14ac:dyDescent="0.45">
      <c r="A17" s="1" t="s">
        <v>15</v>
      </c>
      <c r="B17" s="7" t="s">
        <v>16</v>
      </c>
    </row>
    <row r="18" spans="1:8" x14ac:dyDescent="0.45">
      <c r="A18" s="1" t="s">
        <v>17</v>
      </c>
      <c r="B18" s="7" t="s">
        <v>18</v>
      </c>
    </row>
    <row r="19" spans="1:8" x14ac:dyDescent="0.45">
      <c r="A19" s="1" t="s">
        <v>19</v>
      </c>
      <c r="B19" s="8">
        <v>4</v>
      </c>
    </row>
    <row r="20" spans="1:8" x14ac:dyDescent="0.45">
      <c r="A20" s="1" t="s">
        <v>20</v>
      </c>
      <c r="B20" s="8">
        <v>4</v>
      </c>
    </row>
    <row r="21" spans="1:8" x14ac:dyDescent="0.45">
      <c r="A21" s="1" t="s">
        <v>21</v>
      </c>
      <c r="B21" s="8">
        <v>100</v>
      </c>
    </row>
    <row r="22" spans="1:8" x14ac:dyDescent="0.45">
      <c r="A22" s="1" t="s">
        <v>22</v>
      </c>
      <c r="B22" s="8">
        <v>104</v>
      </c>
    </row>
    <row r="23" spans="1:8" x14ac:dyDescent="0.45">
      <c r="A23" s="1" t="s">
        <v>23</v>
      </c>
      <c r="B23" s="8">
        <v>4</v>
      </c>
    </row>
    <row r="24" spans="1:8" x14ac:dyDescent="0.45">
      <c r="A24" s="1" t="s">
        <v>24</v>
      </c>
      <c r="B24" s="8">
        <v>75</v>
      </c>
    </row>
    <row r="25" spans="1:8" x14ac:dyDescent="0.45">
      <c r="A25" s="1" t="s">
        <v>25</v>
      </c>
      <c r="B25" s="7" t="s">
        <v>26</v>
      </c>
    </row>
    <row r="27" spans="1:8" ht="20" customHeight="1" x14ac:dyDescent="0.45">
      <c r="A27" s="56" t="s">
        <v>27</v>
      </c>
      <c r="B27" s="57"/>
      <c r="C27" s="57"/>
      <c r="D27" s="57"/>
      <c r="E27" s="57"/>
      <c r="F27" s="57"/>
      <c r="G27" s="57"/>
      <c r="H27" s="57"/>
    </row>
    <row r="28" spans="1:8" x14ac:dyDescent="0.45">
      <c r="A28" s="1" t="s">
        <v>28</v>
      </c>
      <c r="B28" s="8">
        <v>100</v>
      </c>
      <c r="C28" s="9" t="s">
        <v>29</v>
      </c>
    </row>
    <row r="29" spans="1:8" x14ac:dyDescent="0.45">
      <c r="A29" s="1" t="s">
        <v>30</v>
      </c>
      <c r="B29" s="10">
        <v>0.22</v>
      </c>
      <c r="C29" s="9" t="s">
        <v>31</v>
      </c>
    </row>
    <row r="30" spans="1:8" x14ac:dyDescent="0.45">
      <c r="A30" s="1" t="s">
        <v>32</v>
      </c>
      <c r="B30" s="10">
        <v>5.0000000000000001E-3</v>
      </c>
      <c r="C30" s="9" t="s">
        <v>33</v>
      </c>
    </row>
    <row r="31" spans="1:8" x14ac:dyDescent="0.45">
      <c r="A31" s="1" t="s">
        <v>34</v>
      </c>
      <c r="B31" s="11">
        <v>2.65</v>
      </c>
      <c r="C31" s="9" t="s">
        <v>35</v>
      </c>
    </row>
    <row r="32" spans="1:8" x14ac:dyDescent="0.45">
      <c r="A32" s="1" t="s">
        <v>36</v>
      </c>
      <c r="B32" s="10">
        <v>0</v>
      </c>
      <c r="C32" s="9" t="s">
        <v>37</v>
      </c>
    </row>
    <row r="33" spans="1:8" x14ac:dyDescent="0.45">
      <c r="A33" s="1" t="s">
        <v>38</v>
      </c>
      <c r="B33" s="12">
        <v>450</v>
      </c>
      <c r="C33" s="9" t="s">
        <v>39</v>
      </c>
    </row>
    <row r="34" spans="1:8" x14ac:dyDescent="0.45">
      <c r="A34" s="1" t="s">
        <v>40</v>
      </c>
      <c r="B34" s="12">
        <v>45000</v>
      </c>
      <c r="C34" s="9" t="s">
        <v>18</v>
      </c>
    </row>
    <row r="35" spans="1:8" x14ac:dyDescent="0.45">
      <c r="A35" s="1" t="s">
        <v>41</v>
      </c>
      <c r="B35" s="10">
        <v>0.7</v>
      </c>
      <c r="C35" s="9" t="s">
        <v>31</v>
      </c>
    </row>
    <row r="36" spans="1:8" x14ac:dyDescent="0.45">
      <c r="A36" s="1" t="s">
        <v>42</v>
      </c>
      <c r="B36" s="10">
        <v>9.7500000000000003E-2</v>
      </c>
      <c r="C36" s="9" t="s">
        <v>37</v>
      </c>
    </row>
    <row r="37" spans="1:8" x14ac:dyDescent="0.45">
      <c r="A37" s="1" t="s">
        <v>43</v>
      </c>
      <c r="B37" s="11">
        <v>17.75</v>
      </c>
      <c r="C37" s="9" t="s">
        <v>44</v>
      </c>
    </row>
    <row r="38" spans="1:8" x14ac:dyDescent="0.45">
      <c r="A38" s="1" t="s">
        <v>45</v>
      </c>
      <c r="B38" s="8">
        <v>0</v>
      </c>
      <c r="C38" s="9" t="s">
        <v>46</v>
      </c>
    </row>
    <row r="39" spans="1:8" x14ac:dyDescent="0.45">
      <c r="A39" s="1" t="s">
        <v>47</v>
      </c>
      <c r="B39" s="13">
        <v>1.2</v>
      </c>
      <c r="C39" s="9" t="s">
        <v>48</v>
      </c>
    </row>
    <row r="40" spans="1:8" x14ac:dyDescent="0.45">
      <c r="A40" s="1" t="s">
        <v>49</v>
      </c>
      <c r="B40" s="8">
        <v>6</v>
      </c>
      <c r="C40" s="9" t="s">
        <v>50</v>
      </c>
    </row>
    <row r="41" spans="1:8" x14ac:dyDescent="0.45">
      <c r="A41" s="1" t="s">
        <v>51</v>
      </c>
      <c r="B41" s="10">
        <v>0.25</v>
      </c>
      <c r="C41" s="9" t="s">
        <v>52</v>
      </c>
    </row>
    <row r="42" spans="1:8" x14ac:dyDescent="0.45">
      <c r="A42" s="1" t="s">
        <v>53</v>
      </c>
      <c r="B42" s="7" t="s">
        <v>54</v>
      </c>
      <c r="C42" s="9"/>
    </row>
    <row r="43" spans="1:8" x14ac:dyDescent="0.45">
      <c r="A43" s="1" t="s">
        <v>55</v>
      </c>
      <c r="B43" s="10">
        <v>0.14000000000000001</v>
      </c>
      <c r="C43" s="9" t="s">
        <v>56</v>
      </c>
    </row>
    <row r="45" spans="1:8" ht="20" customHeight="1" x14ac:dyDescent="0.45">
      <c r="A45" s="56" t="s">
        <v>57</v>
      </c>
      <c r="B45" s="57"/>
      <c r="C45" s="57"/>
      <c r="D45" s="57"/>
      <c r="E45" s="57"/>
      <c r="F45" s="57"/>
      <c r="G45" s="57"/>
      <c r="H45" s="57"/>
    </row>
    <row r="46" spans="1:8" x14ac:dyDescent="0.45">
      <c r="A46" s="14" t="s">
        <v>58</v>
      </c>
      <c r="B46" s="14" t="s">
        <v>3</v>
      </c>
      <c r="C46" s="14" t="s">
        <v>4</v>
      </c>
      <c r="D46" s="14" t="s">
        <v>5</v>
      </c>
      <c r="E46" s="14" t="s">
        <v>7</v>
      </c>
      <c r="F46" s="14" t="s">
        <v>59</v>
      </c>
    </row>
    <row r="47" spans="1:8" x14ac:dyDescent="0.45">
      <c r="A47" s="15" t="s">
        <v>60</v>
      </c>
      <c r="B47" s="16">
        <v>2.6700163710947189E-2</v>
      </c>
      <c r="C47" s="16">
        <v>5.7218072327842817E-2</v>
      </c>
      <c r="D47" s="17">
        <v>0.84987987249707886</v>
      </c>
      <c r="E47" s="18">
        <v>0.99726595546437924</v>
      </c>
      <c r="F47" s="19">
        <v>-11540.73735579672</v>
      </c>
    </row>
    <row r="48" spans="1:8" x14ac:dyDescent="0.45">
      <c r="A48" s="15" t="s">
        <v>61</v>
      </c>
      <c r="B48" s="16">
        <v>4.6596309284776323E-2</v>
      </c>
      <c r="C48" s="16">
        <v>7.1861123315980935E-2</v>
      </c>
      <c r="D48" s="17">
        <v>0.96814518389143089</v>
      </c>
      <c r="E48" s="18">
        <v>1.129101383018001</v>
      </c>
      <c r="F48" s="19">
        <v>-9454.4488396916568</v>
      </c>
    </row>
    <row r="49" spans="1:6" x14ac:dyDescent="0.45">
      <c r="A49" s="15" t="s">
        <v>62</v>
      </c>
      <c r="B49" s="16">
        <v>1.1848096601461581E-2</v>
      </c>
      <c r="C49" s="16">
        <v>4.4177895466446897E-2</v>
      </c>
      <c r="D49" s="17">
        <v>0.76499806976644902</v>
      </c>
      <c r="E49" s="18">
        <v>0.89022597319984931</v>
      </c>
      <c r="F49" s="19">
        <v>-12272.64238326003</v>
      </c>
    </row>
    <row r="50" spans="1:6" x14ac:dyDescent="0.45">
      <c r="A50" s="15" t="s">
        <v>63</v>
      </c>
      <c r="B50" s="16">
        <v>1.343452213327634E-2</v>
      </c>
      <c r="C50" s="16">
        <v>4.4888304852921827E-2</v>
      </c>
      <c r="D50" s="17">
        <v>0.72833811861940934</v>
      </c>
      <c r="E50" s="18">
        <v>0.88796926837055878</v>
      </c>
      <c r="F50" s="19">
        <v>-13421.015113191521</v>
      </c>
    </row>
    <row r="51" spans="1:6" x14ac:dyDescent="0.45">
      <c r="A51" s="15" t="s">
        <v>64</v>
      </c>
      <c r="B51" s="16">
        <v>2.2858489894042041E-2</v>
      </c>
      <c r="C51" s="16">
        <v>5.7416518664412219E-2</v>
      </c>
      <c r="D51" s="17">
        <v>0.77757765465836937</v>
      </c>
      <c r="E51" s="18">
        <v>0.9185430877755969</v>
      </c>
      <c r="F51" s="19">
        <v>-11968.521311340561</v>
      </c>
    </row>
    <row r="52" spans="1:6" x14ac:dyDescent="0.45">
      <c r="A52" s="15" t="s">
        <v>65</v>
      </c>
      <c r="B52" s="16">
        <v>5.064087922167726E-3</v>
      </c>
      <c r="C52" s="16">
        <v>3.7783812955465727E-2</v>
      </c>
      <c r="D52" s="17">
        <v>0.62486125400018389</v>
      </c>
      <c r="E52" s="18">
        <v>0.7624981226592964</v>
      </c>
      <c r="F52" s="19">
        <v>-14222.93128606477</v>
      </c>
    </row>
    <row r="53" spans="1:6" x14ac:dyDescent="0.45">
      <c r="A53" s="15" t="s">
        <v>66</v>
      </c>
      <c r="B53" s="16">
        <v>6.498630181665721E-2</v>
      </c>
      <c r="C53" s="16">
        <v>8.1708598157151258E-2</v>
      </c>
      <c r="D53" s="20">
        <v>1.045843934361947</v>
      </c>
      <c r="E53" s="18">
        <v>1.2168808522003349</v>
      </c>
      <c r="F53" s="19">
        <v>-7459.0672028425251</v>
      </c>
    </row>
  </sheetData>
  <mergeCells count="6">
    <mergeCell ref="A45:H45"/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48"/>
  <sheetViews>
    <sheetView showGridLines="0" tabSelected="1" workbookViewId="0">
      <pane xSplit="2" ySplit="2" topLeftCell="C21" activePane="bottomRight" state="frozen"/>
      <selection pane="topRight"/>
      <selection pane="bottomLeft"/>
      <selection pane="bottomRight" activeCell="G45" sqref="G45"/>
    </sheetView>
  </sheetViews>
  <sheetFormatPr defaultRowHeight="14.25" x14ac:dyDescent="0.45"/>
  <cols>
    <col min="1" max="1" width="32" customWidth="1"/>
    <col min="2" max="2" width="12" customWidth="1"/>
    <col min="3" max="106" width="11" customWidth="1"/>
  </cols>
  <sheetData>
    <row r="1" spans="1:106" ht="28.05" customHeight="1" x14ac:dyDescent="0.45">
      <c r="A1" s="60" t="s">
        <v>67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</row>
    <row r="2" spans="1:106" x14ac:dyDescent="0.45">
      <c r="A2" s="21" t="s">
        <v>68</v>
      </c>
      <c r="B2" s="21" t="s">
        <v>69</v>
      </c>
      <c r="C2" s="22" t="s">
        <v>70</v>
      </c>
      <c r="D2" s="22" t="s">
        <v>71</v>
      </c>
      <c r="E2" s="22" t="s">
        <v>72</v>
      </c>
      <c r="F2" s="22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23" t="s">
        <v>78</v>
      </c>
      <c r="L2" s="23" t="s">
        <v>79</v>
      </c>
      <c r="M2" s="23" t="s">
        <v>80</v>
      </c>
      <c r="N2" s="23" t="s">
        <v>81</v>
      </c>
      <c r="O2" s="23" t="s">
        <v>82</v>
      </c>
      <c r="P2" s="23" t="s">
        <v>83</v>
      </c>
      <c r="Q2" s="23" t="s">
        <v>84</v>
      </c>
      <c r="R2" s="23" t="s">
        <v>85</v>
      </c>
      <c r="S2" s="23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3" t="s">
        <v>91</v>
      </c>
      <c r="Y2" s="23" t="s">
        <v>92</v>
      </c>
      <c r="Z2" s="23" t="s">
        <v>93</v>
      </c>
      <c r="AA2" s="23" t="s">
        <v>94</v>
      </c>
      <c r="AB2" s="23" t="s">
        <v>95</v>
      </c>
      <c r="AC2" s="23" t="s">
        <v>96</v>
      </c>
      <c r="AD2" s="23" t="s">
        <v>97</v>
      </c>
      <c r="AE2" s="23" t="s">
        <v>98</v>
      </c>
      <c r="AF2" s="23" t="s">
        <v>99</v>
      </c>
      <c r="AG2" s="23" t="s">
        <v>100</v>
      </c>
      <c r="AH2" s="23" t="s">
        <v>101</v>
      </c>
      <c r="AI2" s="23" t="s">
        <v>102</v>
      </c>
      <c r="AJ2" s="23" t="s">
        <v>103</v>
      </c>
      <c r="AK2" s="23" t="s">
        <v>104</v>
      </c>
      <c r="AL2" s="23" t="s">
        <v>105</v>
      </c>
      <c r="AM2" s="23" t="s">
        <v>106</v>
      </c>
      <c r="AN2" s="23" t="s">
        <v>107</v>
      </c>
      <c r="AO2" s="23" t="s">
        <v>108</v>
      </c>
      <c r="AP2" s="23" t="s">
        <v>109</v>
      </c>
      <c r="AQ2" s="23" t="s">
        <v>110</v>
      </c>
      <c r="AR2" s="23" t="s">
        <v>111</v>
      </c>
      <c r="AS2" s="23" t="s">
        <v>112</v>
      </c>
      <c r="AT2" s="23" t="s">
        <v>113</v>
      </c>
      <c r="AU2" s="23" t="s">
        <v>114</v>
      </c>
      <c r="AV2" s="23" t="s">
        <v>115</v>
      </c>
      <c r="AW2" s="23" t="s">
        <v>116</v>
      </c>
      <c r="AX2" s="23" t="s">
        <v>117</v>
      </c>
      <c r="AY2" s="23" t="s">
        <v>118</v>
      </c>
      <c r="AZ2" s="23" t="s">
        <v>119</v>
      </c>
      <c r="BA2" s="23" t="s">
        <v>120</v>
      </c>
      <c r="BB2" s="23" t="s">
        <v>121</v>
      </c>
      <c r="BC2" s="23" t="s">
        <v>122</v>
      </c>
      <c r="BD2" s="23" t="s">
        <v>123</v>
      </c>
      <c r="BE2" s="23" t="s">
        <v>124</v>
      </c>
      <c r="BF2" s="23" t="s">
        <v>125</v>
      </c>
      <c r="BG2" s="23" t="s">
        <v>126</v>
      </c>
      <c r="BH2" s="23" t="s">
        <v>127</v>
      </c>
      <c r="BI2" s="23" t="s">
        <v>128</v>
      </c>
      <c r="BJ2" s="23" t="s">
        <v>129</v>
      </c>
      <c r="BK2" s="23" t="s">
        <v>130</v>
      </c>
      <c r="BL2" s="23" t="s">
        <v>131</v>
      </c>
      <c r="BM2" s="23" t="s">
        <v>132</v>
      </c>
      <c r="BN2" s="23" t="s">
        <v>133</v>
      </c>
      <c r="BO2" s="23" t="s">
        <v>134</v>
      </c>
      <c r="BP2" s="23" t="s">
        <v>135</v>
      </c>
      <c r="BQ2" s="23" t="s">
        <v>136</v>
      </c>
      <c r="BR2" s="23" t="s">
        <v>137</v>
      </c>
      <c r="BS2" s="23" t="s">
        <v>138</v>
      </c>
      <c r="BT2" s="23" t="s">
        <v>139</v>
      </c>
      <c r="BU2" s="23" t="s">
        <v>140</v>
      </c>
      <c r="BV2" s="23" t="s">
        <v>141</v>
      </c>
      <c r="BW2" s="23" t="s">
        <v>142</v>
      </c>
      <c r="BX2" s="23" t="s">
        <v>143</v>
      </c>
      <c r="BY2" s="23" t="s">
        <v>144</v>
      </c>
      <c r="BZ2" s="23" t="s">
        <v>145</v>
      </c>
      <c r="CA2" s="23" t="s">
        <v>146</v>
      </c>
      <c r="CB2" s="23" t="s">
        <v>147</v>
      </c>
      <c r="CC2" s="23" t="s">
        <v>148</v>
      </c>
      <c r="CD2" s="23" t="s">
        <v>149</v>
      </c>
      <c r="CE2" s="23" t="s">
        <v>150</v>
      </c>
      <c r="CF2" s="23" t="s">
        <v>151</v>
      </c>
      <c r="CG2" s="23" t="s">
        <v>152</v>
      </c>
      <c r="CH2" s="23" t="s">
        <v>153</v>
      </c>
      <c r="CI2" s="23" t="s">
        <v>154</v>
      </c>
      <c r="CJ2" s="23" t="s">
        <v>155</v>
      </c>
      <c r="CK2" s="23" t="s">
        <v>156</v>
      </c>
      <c r="CL2" s="23" t="s">
        <v>157</v>
      </c>
      <c r="CM2" s="23" t="s">
        <v>158</v>
      </c>
      <c r="CN2" s="23" t="s">
        <v>159</v>
      </c>
      <c r="CO2" s="23" t="s">
        <v>160</v>
      </c>
      <c r="CP2" s="23" t="s">
        <v>161</v>
      </c>
      <c r="CQ2" s="23" t="s">
        <v>162</v>
      </c>
      <c r="CR2" s="23" t="s">
        <v>163</v>
      </c>
      <c r="CS2" s="23" t="s">
        <v>164</v>
      </c>
      <c r="CT2" s="23" t="s">
        <v>165</v>
      </c>
      <c r="CU2" s="23" t="s">
        <v>166</v>
      </c>
      <c r="CV2" s="23" t="s">
        <v>167</v>
      </c>
      <c r="CW2" s="23" t="s">
        <v>168</v>
      </c>
      <c r="CX2" s="23" t="s">
        <v>169</v>
      </c>
      <c r="CY2" s="23" t="s">
        <v>170</v>
      </c>
      <c r="CZ2" s="23" t="s">
        <v>171</v>
      </c>
      <c r="DA2" s="23" t="s">
        <v>172</v>
      </c>
      <c r="DB2" s="23" t="s">
        <v>173</v>
      </c>
    </row>
    <row r="3" spans="1:106" x14ac:dyDescent="0.45">
      <c r="A3" s="61" t="s">
        <v>174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</row>
    <row r="4" spans="1:106" x14ac:dyDescent="0.45">
      <c r="A4" s="24" t="s">
        <v>175</v>
      </c>
      <c r="B4" s="25" t="s">
        <v>176</v>
      </c>
      <c r="C4" s="26">
        <v>0</v>
      </c>
      <c r="D4" s="26">
        <v>0</v>
      </c>
      <c r="E4" s="26">
        <v>0</v>
      </c>
      <c r="F4" s="26">
        <v>0</v>
      </c>
      <c r="G4" s="26">
        <v>47699404.5</v>
      </c>
      <c r="H4" s="26">
        <v>47639668.121700473</v>
      </c>
      <c r="I4" s="26">
        <v>47580006.554290712</v>
      </c>
      <c r="J4" s="26">
        <v>47520419.70408126</v>
      </c>
      <c r="K4" s="26">
        <v>47460907.477499999</v>
      </c>
      <c r="L4" s="26">
        <v>47401469.781091973</v>
      </c>
      <c r="M4" s="26">
        <v>47342106.521519259</v>
      </c>
      <c r="N4" s="26">
        <v>47282817.605560847</v>
      </c>
      <c r="O4" s="26">
        <v>47223602.940112501</v>
      </c>
      <c r="P4" s="26">
        <v>47164462.432186507</v>
      </c>
      <c r="Q4" s="26">
        <v>47105395.988911659</v>
      </c>
      <c r="R4" s="26">
        <v>47046403.517533056</v>
      </c>
      <c r="S4" s="26">
        <v>46987484.925411932</v>
      </c>
      <c r="T4" s="26">
        <v>46928640.120025583</v>
      </c>
      <c r="U4" s="26">
        <v>46869869.008967109</v>
      </c>
      <c r="V4" s="26">
        <v>46811171.499945387</v>
      </c>
      <c r="W4" s="26">
        <v>46752547.500784881</v>
      </c>
      <c r="X4" s="26">
        <v>46693996.91942545</v>
      </c>
      <c r="Y4" s="26">
        <v>46635519.663922273</v>
      </c>
      <c r="Z4" s="26">
        <v>46577115.642445661</v>
      </c>
      <c r="AA4" s="26">
        <v>46518784.76328095</v>
      </c>
      <c r="AB4" s="26">
        <v>46460526.934828319</v>
      </c>
      <c r="AC4" s="26">
        <v>46402342.06560266</v>
      </c>
      <c r="AD4" s="26">
        <v>46344230.06423343</v>
      </c>
      <c r="AE4" s="26">
        <v>46286190.839464553</v>
      </c>
      <c r="AF4" s="26">
        <v>46228224.300154179</v>
      </c>
      <c r="AG4" s="26">
        <v>46170330.355274647</v>
      </c>
      <c r="AH4" s="26">
        <v>46112508.913912266</v>
      </c>
      <c r="AI4" s="26">
        <v>46054759.88526722</v>
      </c>
      <c r="AJ4" s="26">
        <v>45997083.178653412</v>
      </c>
      <c r="AK4" s="26">
        <v>45939478.703498267</v>
      </c>
      <c r="AL4" s="26">
        <v>45881946.369342707</v>
      </c>
      <c r="AM4" s="26">
        <v>45824486.085840881</v>
      </c>
      <c r="AN4" s="26">
        <v>45767097.76276014</v>
      </c>
      <c r="AO4" s="26">
        <v>45709781.309980772</v>
      </c>
      <c r="AP4" s="26">
        <v>45652536.637495987</v>
      </c>
      <c r="AQ4" s="26">
        <v>45595363.655411683</v>
      </c>
      <c r="AR4" s="26">
        <v>45538262.273946337</v>
      </c>
      <c r="AS4" s="26">
        <v>45481232.403430872</v>
      </c>
      <c r="AT4" s="26">
        <v>45424273.95430851</v>
      </c>
      <c r="AU4" s="26">
        <v>45367386.837134622</v>
      </c>
      <c r="AV4" s="26">
        <v>45310570.962576613</v>
      </c>
      <c r="AW4" s="26">
        <v>45253826.24141372</v>
      </c>
      <c r="AX4" s="26">
        <v>45197152.58453697</v>
      </c>
      <c r="AY4" s="26">
        <v>45140549.902948953</v>
      </c>
      <c r="AZ4" s="26">
        <v>45084018.107763723</v>
      </c>
      <c r="BA4" s="26">
        <v>45027557.110206649</v>
      </c>
      <c r="BB4" s="26">
        <v>44971166.821614288</v>
      </c>
      <c r="BC4" s="26">
        <v>44914847.15343421</v>
      </c>
      <c r="BD4" s="26">
        <v>44858598.0172249</v>
      </c>
      <c r="BE4" s="26">
        <v>44802419.324655607</v>
      </c>
      <c r="BF4" s="26">
        <v>44746310.987506218</v>
      </c>
      <c r="BG4" s="26">
        <v>44690272.917667039</v>
      </c>
      <c r="BH4" s="26">
        <v>44634305.027138777</v>
      </c>
      <c r="BI4" s="26">
        <v>44578407.228032343</v>
      </c>
      <c r="BJ4" s="26">
        <v>44522579.432568677</v>
      </c>
      <c r="BK4" s="26">
        <v>44466821.553078704</v>
      </c>
      <c r="BL4" s="26">
        <v>44411133.502003081</v>
      </c>
      <c r="BM4" s="26">
        <v>44355515.191892177</v>
      </c>
      <c r="BN4" s="26">
        <v>44299966.53540583</v>
      </c>
      <c r="BO4" s="26">
        <v>44244487.445313297</v>
      </c>
      <c r="BP4" s="26">
        <v>44189077.834493063</v>
      </c>
      <c r="BQ4" s="26">
        <v>44133737.615932718</v>
      </c>
      <c r="BR4" s="26">
        <v>44078466.702728808</v>
      </c>
      <c r="BS4" s="26">
        <v>44023265.008086741</v>
      </c>
      <c r="BT4" s="26">
        <v>43968132.445320614</v>
      </c>
      <c r="BU4" s="26">
        <v>43913068.927853048</v>
      </c>
      <c r="BV4" s="26">
        <v>43858074.369215161</v>
      </c>
      <c r="BW4" s="26">
        <v>43803148.683046304</v>
      </c>
      <c r="BX4" s="26">
        <v>43748291.783093996</v>
      </c>
      <c r="BY4" s="26">
        <v>43693503.583213791</v>
      </c>
      <c r="BZ4" s="26">
        <v>43638783.997369088</v>
      </c>
      <c r="CA4" s="26">
        <v>43584132.939631067</v>
      </c>
      <c r="CB4" s="26">
        <v>43529550.324178517</v>
      </c>
      <c r="CC4" s="26">
        <v>43475036.065297723</v>
      </c>
      <c r="CD4" s="26">
        <v>43420590.077382237</v>
      </c>
      <c r="CE4" s="26">
        <v>43366212.274932921</v>
      </c>
      <c r="CF4" s="26">
        <v>43311902.572557643</v>
      </c>
      <c r="CG4" s="26">
        <v>43257660.884971216</v>
      </c>
      <c r="CH4" s="26">
        <v>43203487.126995333</v>
      </c>
      <c r="CI4" s="26">
        <v>43149381.213558257</v>
      </c>
      <c r="CJ4" s="26">
        <v>43095343.059694849</v>
      </c>
      <c r="CK4" s="26">
        <v>43041372.580546357</v>
      </c>
      <c r="CL4" s="26">
        <v>42987469.691360347</v>
      </c>
      <c r="CM4" s="26">
        <v>42933634.307490468</v>
      </c>
      <c r="CN4" s="26">
        <v>42879866.344396383</v>
      </c>
      <c r="CO4" s="26">
        <v>42826165.717643641</v>
      </c>
      <c r="CP4" s="26">
        <v>42772532.342903547</v>
      </c>
      <c r="CQ4" s="26">
        <v>42718966.135953009</v>
      </c>
      <c r="CR4" s="26">
        <v>42665467.012674391</v>
      </c>
      <c r="CS4" s="26">
        <v>42612034.889055423</v>
      </c>
      <c r="CT4" s="26">
        <v>42558669.68118903</v>
      </c>
      <c r="CU4" s="26">
        <v>42505371.305273242</v>
      </c>
      <c r="CV4" s="26">
        <v>42452139.677611023</v>
      </c>
      <c r="CW4" s="26">
        <v>42398974.714610137</v>
      </c>
      <c r="CX4" s="26">
        <v>42345876.332783088</v>
      </c>
      <c r="CY4" s="26">
        <v>42292844.448746867</v>
      </c>
      <c r="CZ4" s="26">
        <v>42239878.979222961</v>
      </c>
      <c r="DA4" s="26">
        <v>42186979.841037087</v>
      </c>
      <c r="DB4" s="26">
        <v>42134146.95111917</v>
      </c>
    </row>
    <row r="5" spans="1:106" x14ac:dyDescent="0.45">
      <c r="A5" s="27" t="s">
        <v>177</v>
      </c>
      <c r="B5" s="28" t="s">
        <v>18</v>
      </c>
      <c r="C5" s="29">
        <v>0</v>
      </c>
      <c r="D5" s="29">
        <v>0</v>
      </c>
      <c r="E5" s="29">
        <v>0</v>
      </c>
      <c r="F5" s="29">
        <v>0</v>
      </c>
      <c r="G5" s="29">
        <v>1264.03421925</v>
      </c>
      <c r="H5" s="29">
        <v>1262.451205225062</v>
      </c>
      <c r="I5" s="29">
        <v>1260.870173688704</v>
      </c>
      <c r="J5" s="29">
        <v>1259.291122158153</v>
      </c>
      <c r="K5" s="29">
        <v>1257.7140481537499</v>
      </c>
      <c r="L5" s="29">
        <v>1256.1389491989371</v>
      </c>
      <c r="M5" s="29">
        <v>1254.5658228202601</v>
      </c>
      <c r="N5" s="29">
        <v>1252.9946665473631</v>
      </c>
      <c r="O5" s="29">
        <v>1251.425477912981</v>
      </c>
      <c r="P5" s="29">
        <v>1249.858254452942</v>
      </c>
      <c r="Q5" s="29">
        <v>1248.292993706159</v>
      </c>
      <c r="R5" s="29">
        <v>1246.729693214626</v>
      </c>
      <c r="S5" s="29">
        <v>1245.1683505234159</v>
      </c>
      <c r="T5" s="29">
        <v>1243.6089631806781</v>
      </c>
      <c r="U5" s="29">
        <v>1242.0515287376279</v>
      </c>
      <c r="V5" s="29">
        <v>1240.496044748553</v>
      </c>
      <c r="W5" s="29">
        <v>1238.9425087707989</v>
      </c>
      <c r="X5" s="29">
        <v>1237.390918364775</v>
      </c>
      <c r="Y5" s="29">
        <v>1235.8412710939399</v>
      </c>
      <c r="Z5" s="29">
        <v>1234.2935645248101</v>
      </c>
      <c r="AA5" s="29">
        <v>1232.747796226945</v>
      </c>
      <c r="AB5" s="29">
        <v>1231.2039637729499</v>
      </c>
      <c r="AC5" s="29">
        <v>1229.66206473847</v>
      </c>
      <c r="AD5" s="29">
        <v>1228.1220967021859</v>
      </c>
      <c r="AE5" s="29">
        <v>1226.584057245811</v>
      </c>
      <c r="AF5" s="29">
        <v>1225.0479439540859</v>
      </c>
      <c r="AG5" s="29">
        <v>1223.5137544147781</v>
      </c>
      <c r="AH5" s="29">
        <v>1221.9814862186749</v>
      </c>
      <c r="AI5" s="29">
        <v>1220.4511369595809</v>
      </c>
      <c r="AJ5" s="29">
        <v>1218.922704234315</v>
      </c>
      <c r="AK5" s="29">
        <v>1217.396185642704</v>
      </c>
      <c r="AL5" s="29">
        <v>1215.8715787875819</v>
      </c>
      <c r="AM5" s="29">
        <v>1214.348881274783</v>
      </c>
      <c r="AN5" s="29">
        <v>1212.8280907131441</v>
      </c>
      <c r="AO5" s="29">
        <v>1211.309204714491</v>
      </c>
      <c r="AP5" s="29">
        <v>1209.7922208936441</v>
      </c>
      <c r="AQ5" s="29">
        <v>1208.27713686841</v>
      </c>
      <c r="AR5" s="29">
        <v>1206.763950259578</v>
      </c>
      <c r="AS5" s="29">
        <v>1205.252658690918</v>
      </c>
      <c r="AT5" s="29">
        <v>1203.743259789175</v>
      </c>
      <c r="AU5" s="29">
        <v>1202.2357511840671</v>
      </c>
      <c r="AV5" s="29">
        <v>1200.7301305082799</v>
      </c>
      <c r="AW5" s="29">
        <v>1199.2263953974641</v>
      </c>
      <c r="AX5" s="29">
        <v>1197.72454349023</v>
      </c>
      <c r="AY5" s="29">
        <v>1196.224572428147</v>
      </c>
      <c r="AZ5" s="29">
        <v>1194.726479855738</v>
      </c>
      <c r="BA5" s="29">
        <v>1193.2302634204759</v>
      </c>
      <c r="BB5" s="29">
        <v>1191.7359207727791</v>
      </c>
      <c r="BC5" s="29">
        <v>1190.243449566007</v>
      </c>
      <c r="BD5" s="29">
        <v>1188.7528474564599</v>
      </c>
      <c r="BE5" s="29">
        <v>1187.2641121033739</v>
      </c>
      <c r="BF5" s="29">
        <v>1185.777241168915</v>
      </c>
      <c r="BG5" s="29">
        <v>1184.292232318177</v>
      </c>
      <c r="BH5" s="29">
        <v>1182.8090832191781</v>
      </c>
      <c r="BI5" s="29">
        <v>1181.3277915428571</v>
      </c>
      <c r="BJ5" s="29">
        <v>1179.8483549630701</v>
      </c>
      <c r="BK5" s="29">
        <v>1178.370771156586</v>
      </c>
      <c r="BL5" s="29">
        <v>1176.895037803082</v>
      </c>
      <c r="BM5" s="29">
        <v>1175.4211525851431</v>
      </c>
      <c r="BN5" s="29">
        <v>1173.9491131882539</v>
      </c>
      <c r="BO5" s="29">
        <v>1172.478917300803</v>
      </c>
      <c r="BP5" s="29">
        <v>1171.010562614066</v>
      </c>
      <c r="BQ5" s="29">
        <v>1169.5440468222171</v>
      </c>
      <c r="BR5" s="29">
        <v>1168.0793676223129</v>
      </c>
      <c r="BS5" s="29">
        <v>1166.616522714299</v>
      </c>
      <c r="BT5" s="29">
        <v>1165.155509800996</v>
      </c>
      <c r="BU5" s="29">
        <v>1163.6963265881061</v>
      </c>
      <c r="BV5" s="29">
        <v>1162.2389707842019</v>
      </c>
      <c r="BW5" s="29">
        <v>1160.7834401007269</v>
      </c>
      <c r="BX5" s="29">
        <v>1159.3297322519909</v>
      </c>
      <c r="BY5" s="29">
        <v>1157.8778449551651</v>
      </c>
      <c r="BZ5" s="29">
        <v>1156.4277759302811</v>
      </c>
      <c r="CA5" s="29">
        <v>1154.9795229002229</v>
      </c>
      <c r="CB5" s="29">
        <v>1153.5330835907309</v>
      </c>
      <c r="CC5" s="29">
        <v>1152.0884557303889</v>
      </c>
      <c r="CD5" s="29">
        <v>1150.6456370506289</v>
      </c>
      <c r="CE5" s="29">
        <v>1149.2046252857219</v>
      </c>
      <c r="CF5" s="29">
        <v>1147.7654181727769</v>
      </c>
      <c r="CG5" s="29">
        <v>1146.328013451737</v>
      </c>
      <c r="CH5" s="29">
        <v>1144.892408865376</v>
      </c>
      <c r="CI5" s="29">
        <v>1143.4586021592941</v>
      </c>
      <c r="CJ5" s="29">
        <v>1142.026591081913</v>
      </c>
      <c r="CK5" s="29">
        <v>1140.596373384479</v>
      </c>
      <c r="CL5" s="29">
        <v>1139.1679468210491</v>
      </c>
      <c r="CM5" s="29">
        <v>1137.741309148498</v>
      </c>
      <c r="CN5" s="29">
        <v>1136.3164581265039</v>
      </c>
      <c r="CO5" s="29">
        <v>1134.893391517556</v>
      </c>
      <c r="CP5" s="29">
        <v>1133.4721070869441</v>
      </c>
      <c r="CQ5" s="29">
        <v>1132.0526026027551</v>
      </c>
      <c r="CR5" s="29">
        <v>1130.6348758358711</v>
      </c>
      <c r="CS5" s="29">
        <v>1129.2189245599691</v>
      </c>
      <c r="CT5" s="29">
        <v>1127.804746551509</v>
      </c>
      <c r="CU5" s="29">
        <v>1126.3923395897409</v>
      </c>
      <c r="CV5" s="29">
        <v>1124.981701456692</v>
      </c>
      <c r="CW5" s="29">
        <v>1123.572829937169</v>
      </c>
      <c r="CX5" s="29">
        <v>1122.1657228187521</v>
      </c>
      <c r="CY5" s="29">
        <v>1120.7603778917919</v>
      </c>
      <c r="CZ5" s="29">
        <v>1119.3567929494079</v>
      </c>
      <c r="DA5" s="29">
        <v>1117.9549657874829</v>
      </c>
      <c r="DB5" s="29">
        <v>1116.554894204658</v>
      </c>
    </row>
    <row r="7" spans="1:106" x14ac:dyDescent="0.45">
      <c r="A7" s="61" t="s">
        <v>178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</row>
    <row r="8" spans="1:106" x14ac:dyDescent="0.45">
      <c r="A8" s="24" t="s">
        <v>179</v>
      </c>
      <c r="B8" s="25" t="s">
        <v>18</v>
      </c>
      <c r="C8" s="30">
        <v>0</v>
      </c>
      <c r="D8" s="30">
        <v>0</v>
      </c>
      <c r="E8" s="30">
        <v>0</v>
      </c>
      <c r="F8" s="30">
        <v>0</v>
      </c>
      <c r="G8" s="30">
        <v>206</v>
      </c>
      <c r="H8" s="30">
        <v>207.52791678621301</v>
      </c>
      <c r="I8" s="30">
        <v>209.0671662408997</v>
      </c>
      <c r="J8" s="30">
        <v>210.61783241927569</v>
      </c>
      <c r="K8" s="30">
        <v>212.18</v>
      </c>
      <c r="L8" s="30">
        <v>213.75375428979939</v>
      </c>
      <c r="M8" s="30">
        <v>215.33918122812671</v>
      </c>
      <c r="N8" s="30">
        <v>216.93636739185399</v>
      </c>
      <c r="O8" s="30">
        <v>218.5454</v>
      </c>
      <c r="P8" s="30">
        <v>220.1663669184934</v>
      </c>
      <c r="Q8" s="30">
        <v>221.7993566649705</v>
      </c>
      <c r="R8" s="30">
        <v>223.4444584136096</v>
      </c>
      <c r="S8" s="30">
        <v>225.10176200000001</v>
      </c>
      <c r="T8" s="30">
        <v>226.77135792604821</v>
      </c>
      <c r="U8" s="30">
        <v>228.45333736491969</v>
      </c>
      <c r="V8" s="30">
        <v>230.14779216601789</v>
      </c>
      <c r="W8" s="30">
        <v>231.85481486</v>
      </c>
      <c r="X8" s="30">
        <v>233.57449866382959</v>
      </c>
      <c r="Y8" s="30">
        <v>235.30693748586731</v>
      </c>
      <c r="Z8" s="30">
        <v>237.05222593099839</v>
      </c>
      <c r="AA8" s="30">
        <v>238.81045930580001</v>
      </c>
      <c r="AB8" s="30">
        <v>240.5817336237445</v>
      </c>
      <c r="AC8" s="30">
        <v>242.36614561044331</v>
      </c>
      <c r="AD8" s="30">
        <v>244.16379270892841</v>
      </c>
      <c r="AE8" s="30">
        <v>245.974773084974</v>
      </c>
      <c r="AF8" s="30">
        <v>247.7991856324569</v>
      </c>
      <c r="AG8" s="30">
        <v>249.6371299787566</v>
      </c>
      <c r="AH8" s="30">
        <v>251.48870649019631</v>
      </c>
      <c r="AI8" s="30">
        <v>253.3540162775233</v>
      </c>
      <c r="AJ8" s="30">
        <v>255.23316120143059</v>
      </c>
      <c r="AK8" s="30">
        <v>257.12624387811928</v>
      </c>
      <c r="AL8" s="30">
        <v>259.03336768490209</v>
      </c>
      <c r="AM8" s="30">
        <v>260.95463676584899</v>
      </c>
      <c r="AN8" s="30">
        <v>262.8901560374735</v>
      </c>
      <c r="AO8" s="30">
        <v>264.84003119446288</v>
      </c>
      <c r="AP8" s="30">
        <v>266.80436871544919</v>
      </c>
      <c r="AQ8" s="30">
        <v>268.78327586882438</v>
      </c>
      <c r="AR8" s="30">
        <v>270.77686071859767</v>
      </c>
      <c r="AS8" s="30">
        <v>272.78523213029678</v>
      </c>
      <c r="AT8" s="30">
        <v>274.80849977691281</v>
      </c>
      <c r="AU8" s="30">
        <v>276.8467741448892</v>
      </c>
      <c r="AV8" s="30">
        <v>278.90016654015568</v>
      </c>
      <c r="AW8" s="30">
        <v>280.9687890942057</v>
      </c>
      <c r="AX8" s="30">
        <v>283.05275477022008</v>
      </c>
      <c r="AY8" s="30">
        <v>285.15217736923591</v>
      </c>
      <c r="AZ8" s="30">
        <v>287.26717153636042</v>
      </c>
      <c r="BA8" s="30">
        <v>289.39785276703179</v>
      </c>
      <c r="BB8" s="30">
        <v>291.54433741332667</v>
      </c>
      <c r="BC8" s="30">
        <v>293.70674269031298</v>
      </c>
      <c r="BD8" s="30">
        <v>295.88518668245109</v>
      </c>
      <c r="BE8" s="30">
        <v>298.0797883500428</v>
      </c>
      <c r="BF8" s="30">
        <v>300.29066753572653</v>
      </c>
      <c r="BG8" s="30">
        <v>302.51794497102242</v>
      </c>
      <c r="BH8" s="30">
        <v>304.76174228292467</v>
      </c>
      <c r="BI8" s="30">
        <v>307.02218200054409</v>
      </c>
      <c r="BJ8" s="30">
        <v>309.29938756179831</v>
      </c>
      <c r="BK8" s="30">
        <v>311.59348332015298</v>
      </c>
      <c r="BL8" s="30">
        <v>313.90459455141252</v>
      </c>
      <c r="BM8" s="30">
        <v>316.23284746056038</v>
      </c>
      <c r="BN8" s="30">
        <v>318.57836918865229</v>
      </c>
      <c r="BO8" s="30">
        <v>320.94128781975758</v>
      </c>
      <c r="BP8" s="30">
        <v>323.32173238795491</v>
      </c>
      <c r="BQ8" s="30">
        <v>325.71983288437718</v>
      </c>
      <c r="BR8" s="30">
        <v>328.13572026431189</v>
      </c>
      <c r="BS8" s="30">
        <v>330.56952645435041</v>
      </c>
      <c r="BT8" s="30">
        <v>333.02138435959353</v>
      </c>
      <c r="BU8" s="30">
        <v>335.49142787090858</v>
      </c>
      <c r="BV8" s="30">
        <v>337.97979187224121</v>
      </c>
      <c r="BW8" s="30">
        <v>340.48661224798087</v>
      </c>
      <c r="BX8" s="30">
        <v>343.01202589038132</v>
      </c>
      <c r="BY8" s="30">
        <v>345.55617070703579</v>
      </c>
      <c r="BZ8" s="30">
        <v>348.1191856284085</v>
      </c>
      <c r="CA8" s="30">
        <v>350.70121061542028</v>
      </c>
      <c r="CB8" s="30">
        <v>353.30238666709278</v>
      </c>
      <c r="CC8" s="30">
        <v>355.9228558282469</v>
      </c>
      <c r="CD8" s="30">
        <v>358.56276119726073</v>
      </c>
      <c r="CE8" s="30">
        <v>361.22224693388301</v>
      </c>
      <c r="CF8" s="30">
        <v>363.90145826710551</v>
      </c>
      <c r="CG8" s="30">
        <v>366.60054150309429</v>
      </c>
      <c r="CH8" s="30">
        <v>369.31964403317858</v>
      </c>
      <c r="CI8" s="30">
        <v>372.05891434189942</v>
      </c>
      <c r="CJ8" s="30">
        <v>374.81850201511872</v>
      </c>
      <c r="CK8" s="30">
        <v>377.5985577481872</v>
      </c>
      <c r="CL8" s="30">
        <v>380.39923335417399</v>
      </c>
      <c r="CM8" s="30">
        <v>383.22068177215652</v>
      </c>
      <c r="CN8" s="30">
        <v>386.06305707557232</v>
      </c>
      <c r="CO8" s="30">
        <v>388.92651448063282</v>
      </c>
      <c r="CP8" s="30">
        <v>391.81121035479919</v>
      </c>
      <c r="CQ8" s="30">
        <v>394.71730222532108</v>
      </c>
      <c r="CR8" s="30">
        <v>397.6449487878395</v>
      </c>
      <c r="CS8" s="30">
        <v>400.59430991505178</v>
      </c>
      <c r="CT8" s="30">
        <v>403.56554666544321</v>
      </c>
      <c r="CU8" s="30">
        <v>406.55882129208078</v>
      </c>
      <c r="CV8" s="30">
        <v>409.57429725147472</v>
      </c>
      <c r="CW8" s="30">
        <v>412.61213921250339</v>
      </c>
      <c r="CX8" s="30">
        <v>415.67251306540641</v>
      </c>
      <c r="CY8" s="30">
        <v>418.75558593084321</v>
      </c>
      <c r="CZ8" s="30">
        <v>421.86152616901887</v>
      </c>
      <c r="DA8" s="30">
        <v>424.99050338887849</v>
      </c>
      <c r="DB8" s="30">
        <v>428.14268845736871</v>
      </c>
    </row>
    <row r="9" spans="1:106" x14ac:dyDescent="0.45">
      <c r="A9" s="24" t="s">
        <v>180</v>
      </c>
      <c r="B9" s="25" t="s">
        <v>18</v>
      </c>
      <c r="C9" s="31">
        <v>0</v>
      </c>
      <c r="D9" s="31">
        <v>0</v>
      </c>
      <c r="E9" s="31">
        <v>0</v>
      </c>
      <c r="F9" s="31">
        <v>0</v>
      </c>
      <c r="G9" s="31">
        <v>56.25</v>
      </c>
      <c r="H9" s="31">
        <v>56.25</v>
      </c>
      <c r="I9" s="31">
        <v>56.25</v>
      </c>
      <c r="J9" s="31">
        <v>56.25</v>
      </c>
      <c r="K9" s="31">
        <v>56.25</v>
      </c>
      <c r="L9" s="31">
        <v>56.25</v>
      </c>
      <c r="M9" s="31">
        <v>56.25</v>
      </c>
      <c r="N9" s="31">
        <v>56.25</v>
      </c>
      <c r="O9" s="31">
        <v>56.25</v>
      </c>
      <c r="P9" s="31">
        <v>56.25</v>
      </c>
      <c r="Q9" s="31">
        <v>56.25</v>
      </c>
      <c r="R9" s="31">
        <v>56.25</v>
      </c>
      <c r="S9" s="31">
        <v>56.25</v>
      </c>
      <c r="T9" s="31">
        <v>56.25</v>
      </c>
      <c r="U9" s="31">
        <v>56.25</v>
      </c>
      <c r="V9" s="31">
        <v>56.25</v>
      </c>
      <c r="W9" s="31">
        <v>56.25</v>
      </c>
      <c r="X9" s="31">
        <v>56.25</v>
      </c>
      <c r="Y9" s="31">
        <v>56.25</v>
      </c>
      <c r="Z9" s="31">
        <v>56.25</v>
      </c>
      <c r="AA9" s="31">
        <v>56.25</v>
      </c>
      <c r="AB9" s="31">
        <v>56.25</v>
      </c>
      <c r="AC9" s="31">
        <v>56.25</v>
      </c>
      <c r="AD9" s="31">
        <v>56.25</v>
      </c>
      <c r="AE9" s="31">
        <v>56.25</v>
      </c>
      <c r="AF9" s="31">
        <v>56.25</v>
      </c>
      <c r="AG9" s="31">
        <v>56.25</v>
      </c>
      <c r="AH9" s="31">
        <v>56.25</v>
      </c>
      <c r="AI9" s="31">
        <v>56.25</v>
      </c>
      <c r="AJ9" s="31">
        <v>56.25</v>
      </c>
      <c r="AK9" s="31">
        <v>56.25</v>
      </c>
      <c r="AL9" s="31">
        <v>56.25</v>
      </c>
      <c r="AM9" s="31">
        <v>56.25</v>
      </c>
      <c r="AN9" s="31">
        <v>56.25</v>
      </c>
      <c r="AO9" s="31">
        <v>56.25</v>
      </c>
      <c r="AP9" s="31">
        <v>56.25</v>
      </c>
      <c r="AQ9" s="31">
        <v>56.25</v>
      </c>
      <c r="AR9" s="31">
        <v>56.25</v>
      </c>
      <c r="AS9" s="31">
        <v>56.25</v>
      </c>
      <c r="AT9" s="31">
        <v>56.25</v>
      </c>
      <c r="AU9" s="31">
        <v>56.25</v>
      </c>
      <c r="AV9" s="31">
        <v>56.25</v>
      </c>
      <c r="AW9" s="31">
        <v>56.25</v>
      </c>
      <c r="AX9" s="31">
        <v>56.25</v>
      </c>
      <c r="AY9" s="31">
        <v>56.25</v>
      </c>
      <c r="AZ9" s="31">
        <v>56.25</v>
      </c>
      <c r="BA9" s="31">
        <v>56.25</v>
      </c>
      <c r="BB9" s="31">
        <v>56.25</v>
      </c>
      <c r="BC9" s="31">
        <v>56.25</v>
      </c>
      <c r="BD9" s="31">
        <v>56.25</v>
      </c>
      <c r="BE9" s="31">
        <v>56.25</v>
      </c>
      <c r="BF9" s="31">
        <v>56.25</v>
      </c>
      <c r="BG9" s="31">
        <v>56.25</v>
      </c>
      <c r="BH9" s="31">
        <v>56.25</v>
      </c>
      <c r="BI9" s="31">
        <v>56.25</v>
      </c>
      <c r="BJ9" s="31">
        <v>56.25</v>
      </c>
      <c r="BK9" s="31">
        <v>56.25</v>
      </c>
      <c r="BL9" s="31">
        <v>56.25</v>
      </c>
      <c r="BM9" s="31">
        <v>56.25</v>
      </c>
      <c r="BN9" s="31">
        <v>56.25</v>
      </c>
      <c r="BO9" s="31">
        <v>56.25</v>
      </c>
      <c r="BP9" s="31">
        <v>56.25</v>
      </c>
      <c r="BQ9" s="31">
        <v>56.25</v>
      </c>
      <c r="BR9" s="31">
        <v>56.25</v>
      </c>
      <c r="BS9" s="31">
        <v>56.25</v>
      </c>
      <c r="BT9" s="31">
        <v>56.25</v>
      </c>
      <c r="BU9" s="31">
        <v>56.25</v>
      </c>
      <c r="BV9" s="31">
        <v>56.25</v>
      </c>
      <c r="BW9" s="31">
        <v>56.25</v>
      </c>
      <c r="BX9" s="31">
        <v>56.25</v>
      </c>
      <c r="BY9" s="31">
        <v>56.25</v>
      </c>
      <c r="BZ9" s="31">
        <v>56.25</v>
      </c>
      <c r="CA9" s="31">
        <v>56.25</v>
      </c>
      <c r="CB9" s="31">
        <v>56.25</v>
      </c>
      <c r="CC9" s="31">
        <v>56.25</v>
      </c>
      <c r="CD9" s="31">
        <v>56.25</v>
      </c>
      <c r="CE9" s="31">
        <v>56.25</v>
      </c>
      <c r="CF9" s="31">
        <v>56.25</v>
      </c>
      <c r="CG9" s="31">
        <v>56.25</v>
      </c>
      <c r="CH9" s="31">
        <v>56.25</v>
      </c>
      <c r="CI9" s="31">
        <v>56.25</v>
      </c>
      <c r="CJ9" s="31">
        <v>56.25</v>
      </c>
      <c r="CK9" s="31">
        <v>56.25</v>
      </c>
      <c r="CL9" s="31">
        <v>56.25</v>
      </c>
      <c r="CM9" s="31">
        <v>56.25</v>
      </c>
      <c r="CN9" s="31">
        <v>56.25</v>
      </c>
      <c r="CO9" s="31">
        <v>56.25</v>
      </c>
      <c r="CP9" s="31">
        <v>56.25</v>
      </c>
      <c r="CQ9" s="31">
        <v>56.25</v>
      </c>
      <c r="CR9" s="31">
        <v>56.25</v>
      </c>
      <c r="CS9" s="31">
        <v>56.25</v>
      </c>
      <c r="CT9" s="31">
        <v>56.25</v>
      </c>
      <c r="CU9" s="31">
        <v>56.25</v>
      </c>
      <c r="CV9" s="31">
        <v>56.25</v>
      </c>
      <c r="CW9" s="31">
        <v>56.25</v>
      </c>
      <c r="CX9" s="31">
        <v>56.25</v>
      </c>
      <c r="CY9" s="31">
        <v>56.25</v>
      </c>
      <c r="CZ9" s="31">
        <v>56.25</v>
      </c>
      <c r="DA9" s="31">
        <v>56.25</v>
      </c>
      <c r="DB9" s="31">
        <v>56.25</v>
      </c>
    </row>
    <row r="10" spans="1:106" x14ac:dyDescent="0.45">
      <c r="A10" s="24" t="s">
        <v>181</v>
      </c>
      <c r="B10" s="25" t="s">
        <v>18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0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  <c r="CD10" s="30">
        <v>0</v>
      </c>
      <c r="CE10" s="30">
        <v>0</v>
      </c>
      <c r="CF10" s="30">
        <v>0</v>
      </c>
      <c r="CG10" s="30">
        <v>0</v>
      </c>
      <c r="CH10" s="30">
        <v>0</v>
      </c>
      <c r="CI10" s="30">
        <v>0</v>
      </c>
      <c r="CJ10" s="30">
        <v>0</v>
      </c>
      <c r="CK10" s="30">
        <v>0</v>
      </c>
      <c r="CL10" s="30">
        <v>0</v>
      </c>
      <c r="CM10" s="30">
        <v>0</v>
      </c>
      <c r="CN10" s="30">
        <v>0</v>
      </c>
      <c r="CO10" s="30">
        <v>0</v>
      </c>
      <c r="CP10" s="30">
        <v>0</v>
      </c>
      <c r="CQ10" s="30">
        <v>0</v>
      </c>
      <c r="CR10" s="30">
        <v>0</v>
      </c>
      <c r="CS10" s="30">
        <v>0</v>
      </c>
      <c r="CT10" s="30">
        <v>0</v>
      </c>
      <c r="CU10" s="30">
        <v>0</v>
      </c>
      <c r="CV10" s="30">
        <v>0</v>
      </c>
      <c r="CW10" s="30">
        <v>0</v>
      </c>
      <c r="CX10" s="30">
        <v>0</v>
      </c>
      <c r="CY10" s="30">
        <v>0</v>
      </c>
      <c r="CZ10" s="30">
        <v>0</v>
      </c>
      <c r="DA10" s="30">
        <v>0</v>
      </c>
      <c r="DB10" s="30">
        <v>0</v>
      </c>
    </row>
    <row r="11" spans="1:106" x14ac:dyDescent="0.45">
      <c r="A11" s="27" t="s">
        <v>182</v>
      </c>
      <c r="B11" s="28" t="s">
        <v>18</v>
      </c>
      <c r="C11" s="29">
        <v>0</v>
      </c>
      <c r="D11" s="29">
        <v>0</v>
      </c>
      <c r="E11" s="29">
        <v>0</v>
      </c>
      <c r="F11" s="29">
        <v>0</v>
      </c>
      <c r="G11" s="29">
        <v>262.25</v>
      </c>
      <c r="H11" s="29">
        <v>263.77791678621298</v>
      </c>
      <c r="I11" s="29">
        <v>265.31716624089972</v>
      </c>
      <c r="J11" s="29">
        <v>266.86783241927571</v>
      </c>
      <c r="K11" s="29">
        <v>268.42999999999989</v>
      </c>
      <c r="L11" s="29">
        <v>270.00375428979942</v>
      </c>
      <c r="M11" s="29">
        <v>271.58918122812668</v>
      </c>
      <c r="N11" s="29">
        <v>273.18636739185399</v>
      </c>
      <c r="O11" s="29">
        <v>274.79539999999997</v>
      </c>
      <c r="P11" s="29">
        <v>276.4163669184934</v>
      </c>
      <c r="Q11" s="29">
        <v>278.04935666497062</v>
      </c>
      <c r="R11" s="29">
        <v>279.6944584136096</v>
      </c>
      <c r="S11" s="29">
        <v>281.35176200000001</v>
      </c>
      <c r="T11" s="29">
        <v>283.02135792604821</v>
      </c>
      <c r="U11" s="29">
        <v>284.70333736491972</v>
      </c>
      <c r="V11" s="29">
        <v>286.39779216601789</v>
      </c>
      <c r="W11" s="29">
        <v>288.10481485999998</v>
      </c>
      <c r="X11" s="29">
        <v>289.82449866382967</v>
      </c>
      <c r="Y11" s="29">
        <v>291.55693748586731</v>
      </c>
      <c r="Z11" s="29">
        <v>293.30222593099847</v>
      </c>
      <c r="AA11" s="29">
        <v>295.06045930580001</v>
      </c>
      <c r="AB11" s="29">
        <v>296.83173362374453</v>
      </c>
      <c r="AC11" s="29">
        <v>298.61614561044331</v>
      </c>
      <c r="AD11" s="29">
        <v>300.41379270892838</v>
      </c>
      <c r="AE11" s="29">
        <v>302.224773084974</v>
      </c>
      <c r="AF11" s="29">
        <v>304.0491856324569</v>
      </c>
      <c r="AG11" s="29">
        <v>305.88712997875649</v>
      </c>
      <c r="AH11" s="29">
        <v>307.73870649019631</v>
      </c>
      <c r="AI11" s="29">
        <v>309.60401627752327</v>
      </c>
      <c r="AJ11" s="29">
        <v>311.48316120143062</v>
      </c>
      <c r="AK11" s="29">
        <v>313.37624387811928</v>
      </c>
      <c r="AL11" s="29">
        <v>315.28336768490209</v>
      </c>
      <c r="AM11" s="29">
        <v>317.20463676584899</v>
      </c>
      <c r="AN11" s="29">
        <v>319.1401560374735</v>
      </c>
      <c r="AO11" s="29">
        <v>321.09003119446288</v>
      </c>
      <c r="AP11" s="29">
        <v>323.05436871544919</v>
      </c>
      <c r="AQ11" s="29">
        <v>325.03327586882438</v>
      </c>
      <c r="AR11" s="29">
        <v>327.02686071859767</v>
      </c>
      <c r="AS11" s="29">
        <v>329.03523213029678</v>
      </c>
      <c r="AT11" s="29">
        <v>331.05849977691281</v>
      </c>
      <c r="AU11" s="29">
        <v>333.0967741448892</v>
      </c>
      <c r="AV11" s="29">
        <v>335.15016654015568</v>
      </c>
      <c r="AW11" s="29">
        <v>337.2187890942057</v>
      </c>
      <c r="AX11" s="29">
        <v>339.30275477022008</v>
      </c>
      <c r="AY11" s="29">
        <v>341.40217736923591</v>
      </c>
      <c r="AZ11" s="29">
        <v>343.51717153636042</v>
      </c>
      <c r="BA11" s="29">
        <v>345.64785276703179</v>
      </c>
      <c r="BB11" s="29">
        <v>347.79433741332667</v>
      </c>
      <c r="BC11" s="29">
        <v>349.95674269031298</v>
      </c>
      <c r="BD11" s="29">
        <v>352.13518668245109</v>
      </c>
      <c r="BE11" s="29">
        <v>354.3297883500428</v>
      </c>
      <c r="BF11" s="29">
        <v>356.54066753572653</v>
      </c>
      <c r="BG11" s="29">
        <v>358.76794497102242</v>
      </c>
      <c r="BH11" s="29">
        <v>361.01174228292467</v>
      </c>
      <c r="BI11" s="29">
        <v>363.27218200054409</v>
      </c>
      <c r="BJ11" s="29">
        <v>365.54938756179831</v>
      </c>
      <c r="BK11" s="29">
        <v>367.84348332015298</v>
      </c>
      <c r="BL11" s="29">
        <v>370.15459455141252</v>
      </c>
      <c r="BM11" s="29">
        <v>372.48284746056038</v>
      </c>
      <c r="BN11" s="29">
        <v>374.82836918865229</v>
      </c>
      <c r="BO11" s="29">
        <v>377.19128781975758</v>
      </c>
      <c r="BP11" s="29">
        <v>379.57173238795491</v>
      </c>
      <c r="BQ11" s="29">
        <v>381.96983288437718</v>
      </c>
      <c r="BR11" s="29">
        <v>384.38572026431189</v>
      </c>
      <c r="BS11" s="29">
        <v>386.81952645435041</v>
      </c>
      <c r="BT11" s="29">
        <v>389.27138435959353</v>
      </c>
      <c r="BU11" s="29">
        <v>391.74142787090858</v>
      </c>
      <c r="BV11" s="29">
        <v>394.22979187224121</v>
      </c>
      <c r="BW11" s="29">
        <v>396.73661224798087</v>
      </c>
      <c r="BX11" s="29">
        <v>399.26202589038132</v>
      </c>
      <c r="BY11" s="29">
        <v>401.80617070703579</v>
      </c>
      <c r="BZ11" s="29">
        <v>404.3691856284085</v>
      </c>
      <c r="CA11" s="29">
        <v>406.95121061542028</v>
      </c>
      <c r="CB11" s="29">
        <v>409.55238666709278</v>
      </c>
      <c r="CC11" s="29">
        <v>412.1728558282469</v>
      </c>
      <c r="CD11" s="29">
        <v>414.81276119726073</v>
      </c>
      <c r="CE11" s="29">
        <v>417.47224693388301</v>
      </c>
      <c r="CF11" s="29">
        <v>420.15145826710551</v>
      </c>
      <c r="CG11" s="29">
        <v>422.85054150309429</v>
      </c>
      <c r="CH11" s="29">
        <v>425.56964403317858</v>
      </c>
      <c r="CI11" s="29">
        <v>428.30891434189942</v>
      </c>
      <c r="CJ11" s="29">
        <v>431.06850201511872</v>
      </c>
      <c r="CK11" s="29">
        <v>433.8485577481872</v>
      </c>
      <c r="CL11" s="29">
        <v>436.64923335417399</v>
      </c>
      <c r="CM11" s="29">
        <v>439.47068177215652</v>
      </c>
      <c r="CN11" s="29">
        <v>442.31305707557232</v>
      </c>
      <c r="CO11" s="29">
        <v>445.17651448063282</v>
      </c>
      <c r="CP11" s="29">
        <v>448.06121035479919</v>
      </c>
      <c r="CQ11" s="29">
        <v>450.96730222532108</v>
      </c>
      <c r="CR11" s="29">
        <v>453.8949487878395</v>
      </c>
      <c r="CS11" s="29">
        <v>456.84430991505178</v>
      </c>
      <c r="CT11" s="29">
        <v>459.81554666544321</v>
      </c>
      <c r="CU11" s="29">
        <v>462.80882129208078</v>
      </c>
      <c r="CV11" s="29">
        <v>465.82429725147472</v>
      </c>
      <c r="CW11" s="29">
        <v>468.86213921250339</v>
      </c>
      <c r="CX11" s="29">
        <v>471.92251306540641</v>
      </c>
      <c r="CY11" s="29">
        <v>475.00558593084321</v>
      </c>
      <c r="CZ11" s="29">
        <v>478.11152616901887</v>
      </c>
      <c r="DA11" s="29">
        <v>481.24050338887849</v>
      </c>
      <c r="DB11" s="29">
        <v>484.39268845736871</v>
      </c>
    </row>
    <row r="13" spans="1:106" x14ac:dyDescent="0.45">
      <c r="A13" s="27" t="s">
        <v>183</v>
      </c>
      <c r="B13" s="28" t="s">
        <v>18</v>
      </c>
      <c r="C13" s="29">
        <v>0</v>
      </c>
      <c r="D13" s="29">
        <v>0</v>
      </c>
      <c r="E13" s="29">
        <v>0</v>
      </c>
      <c r="F13" s="29">
        <v>0</v>
      </c>
      <c r="G13" s="29">
        <v>1001.78421925</v>
      </c>
      <c r="H13" s="29">
        <v>998.67328843884923</v>
      </c>
      <c r="I13" s="29">
        <v>995.55300744780402</v>
      </c>
      <c r="J13" s="29">
        <v>992.42328973887754</v>
      </c>
      <c r="K13" s="29">
        <v>989.28404815374995</v>
      </c>
      <c r="L13" s="29">
        <v>986.13519490913768</v>
      </c>
      <c r="M13" s="29">
        <v>982.97664159213355</v>
      </c>
      <c r="N13" s="29">
        <v>979.80829915550862</v>
      </c>
      <c r="O13" s="29">
        <v>976.63007791298128</v>
      </c>
      <c r="P13" s="29">
        <v>973.44188753444882</v>
      </c>
      <c r="Q13" s="29">
        <v>970.24363704118821</v>
      </c>
      <c r="R13" s="29">
        <v>967.03523480101637</v>
      </c>
      <c r="S13" s="29">
        <v>963.81658852341616</v>
      </c>
      <c r="T13" s="29">
        <v>960.58760525462969</v>
      </c>
      <c r="U13" s="29">
        <v>957.3481913727087</v>
      </c>
      <c r="V13" s="29">
        <v>954.09825258253488</v>
      </c>
      <c r="W13" s="29">
        <v>950.83769391079932</v>
      </c>
      <c r="X13" s="29">
        <v>947.56641970094483</v>
      </c>
      <c r="Y13" s="29">
        <v>944.28433360807264</v>
      </c>
      <c r="Z13" s="29">
        <v>940.99133859381163</v>
      </c>
      <c r="AA13" s="29">
        <v>937.68733692114517</v>
      </c>
      <c r="AB13" s="29">
        <v>934.37223014920585</v>
      </c>
      <c r="AC13" s="29">
        <v>931.04591912802721</v>
      </c>
      <c r="AD13" s="29">
        <v>927.70830399325746</v>
      </c>
      <c r="AE13" s="29">
        <v>924.35928416083652</v>
      </c>
      <c r="AF13" s="29">
        <v>920.99875832162877</v>
      </c>
      <c r="AG13" s="29">
        <v>917.62662443602153</v>
      </c>
      <c r="AH13" s="29">
        <v>914.24277972847892</v>
      </c>
      <c r="AI13" s="29">
        <v>910.84712068205818</v>
      </c>
      <c r="AJ13" s="29">
        <v>907.43954303288467</v>
      </c>
      <c r="AK13" s="29">
        <v>904.0199417645847</v>
      </c>
      <c r="AL13" s="29">
        <v>900.58821110267957</v>
      </c>
      <c r="AM13" s="29">
        <v>897.14424450893421</v>
      </c>
      <c r="AN13" s="29">
        <v>893.68793467567014</v>
      </c>
      <c r="AO13" s="29">
        <v>890.21917352002765</v>
      </c>
      <c r="AP13" s="29">
        <v>886.73785217819454</v>
      </c>
      <c r="AQ13" s="29">
        <v>883.24386099958519</v>
      </c>
      <c r="AR13" s="29">
        <v>879.73708954098026</v>
      </c>
      <c r="AS13" s="29">
        <v>876.21742656062122</v>
      </c>
      <c r="AT13" s="29">
        <v>872.6847600122627</v>
      </c>
      <c r="AU13" s="29">
        <v>869.13897703917814</v>
      </c>
      <c r="AV13" s="29">
        <v>865.57996396812428</v>
      </c>
      <c r="AW13" s="29">
        <v>862.00760630325794</v>
      </c>
      <c r="AX13" s="29">
        <v>858.42178872000966</v>
      </c>
      <c r="AY13" s="29">
        <v>854.82239505891107</v>
      </c>
      <c r="AZ13" s="29">
        <v>851.20930831937812</v>
      </c>
      <c r="BA13" s="29">
        <v>847.5824106534443</v>
      </c>
      <c r="BB13" s="29">
        <v>843.9415833594519</v>
      </c>
      <c r="BC13" s="29">
        <v>840.28670687569365</v>
      </c>
      <c r="BD13" s="29">
        <v>836.61766077400875</v>
      </c>
      <c r="BE13" s="29">
        <v>832.93432375333089</v>
      </c>
      <c r="BF13" s="29">
        <v>829.2365736331883</v>
      </c>
      <c r="BG13" s="29">
        <v>825.52428734715409</v>
      </c>
      <c r="BH13" s="29">
        <v>821.79734093625302</v>
      </c>
      <c r="BI13" s="29">
        <v>818.05560954231282</v>
      </c>
      <c r="BJ13" s="29">
        <v>814.29896740127151</v>
      </c>
      <c r="BK13" s="29">
        <v>810.52728783643272</v>
      </c>
      <c r="BL13" s="29">
        <v>806.74044325166915</v>
      </c>
      <c r="BM13" s="29">
        <v>802.93830512458226</v>
      </c>
      <c r="BN13" s="29">
        <v>799.12074399960215</v>
      </c>
      <c r="BO13" s="29">
        <v>795.28762948104486</v>
      </c>
      <c r="BP13" s="29">
        <v>791.43883022611135</v>
      </c>
      <c r="BQ13" s="29">
        <v>787.57421393783989</v>
      </c>
      <c r="BR13" s="29">
        <v>783.6936473580015</v>
      </c>
      <c r="BS13" s="29">
        <v>779.7969962599484</v>
      </c>
      <c r="BT13" s="29">
        <v>775.88412544140249</v>
      </c>
      <c r="BU13" s="29">
        <v>771.95489871719701</v>
      </c>
      <c r="BV13" s="29">
        <v>768.00917891196048</v>
      </c>
      <c r="BW13" s="29">
        <v>764.04682785274622</v>
      </c>
      <c r="BX13" s="29">
        <v>760.06770636160979</v>
      </c>
      <c r="BY13" s="29">
        <v>756.07167424812951</v>
      </c>
      <c r="BZ13" s="29">
        <v>752.0585903018723</v>
      </c>
      <c r="CA13" s="29">
        <v>748.02831228480306</v>
      </c>
      <c r="CB13" s="29">
        <v>743.98069692363811</v>
      </c>
      <c r="CC13" s="29">
        <v>739.9155999021425</v>
      </c>
      <c r="CD13" s="29">
        <v>735.83287585336871</v>
      </c>
      <c r="CE13" s="29">
        <v>731.73237835183943</v>
      </c>
      <c r="CF13" s="29">
        <v>727.61395990567189</v>
      </c>
      <c r="CG13" s="29">
        <v>723.47747194864314</v>
      </c>
      <c r="CH13" s="29">
        <v>719.32276483219766</v>
      </c>
      <c r="CI13" s="29">
        <v>715.14968781739435</v>
      </c>
      <c r="CJ13" s="29">
        <v>710.95808906679474</v>
      </c>
      <c r="CK13" s="29">
        <v>706.74781563629131</v>
      </c>
      <c r="CL13" s="29">
        <v>702.5187134668754</v>
      </c>
      <c r="CM13" s="29">
        <v>698.27062737634105</v>
      </c>
      <c r="CN13" s="29">
        <v>694.00340105093164</v>
      </c>
      <c r="CO13" s="29">
        <v>689.71687703692362</v>
      </c>
      <c r="CP13" s="29">
        <v>685.41089673214492</v>
      </c>
      <c r="CQ13" s="29">
        <v>681.08530037743344</v>
      </c>
      <c r="CR13" s="29">
        <v>676.73992704803186</v>
      </c>
      <c r="CS13" s="29">
        <v>672.37461464491685</v>
      </c>
      <c r="CT13" s="29">
        <v>667.98919988606599</v>
      </c>
      <c r="CU13" s="29">
        <v>663.58351829766013</v>
      </c>
      <c r="CV13" s="29">
        <v>659.15740420521729</v>
      </c>
      <c r="CW13" s="29">
        <v>654.71069072466537</v>
      </c>
      <c r="CX13" s="29">
        <v>650.24320975334547</v>
      </c>
      <c r="CY13" s="29">
        <v>645.75479196094898</v>
      </c>
      <c r="CZ13" s="29">
        <v>641.24526678038944</v>
      </c>
      <c r="DA13" s="29">
        <v>636.71446239860438</v>
      </c>
      <c r="DB13" s="29">
        <v>632.16220574728936</v>
      </c>
    </row>
    <row r="15" spans="1:106" x14ac:dyDescent="0.45">
      <c r="A15" s="61" t="s">
        <v>184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</row>
    <row r="16" spans="1:106" x14ac:dyDescent="0.45">
      <c r="A16" s="24" t="s">
        <v>185</v>
      </c>
      <c r="B16" s="25" t="s">
        <v>18</v>
      </c>
      <c r="C16" s="30">
        <v>0</v>
      </c>
      <c r="D16" s="30">
        <v>0</v>
      </c>
      <c r="E16" s="30">
        <v>0</v>
      </c>
      <c r="F16" s="30">
        <v>0</v>
      </c>
      <c r="G16" s="30">
        <v>534.375</v>
      </c>
      <c r="H16" s="30">
        <v>534.375</v>
      </c>
      <c r="I16" s="30">
        <v>534.375</v>
      </c>
      <c r="J16" s="30">
        <v>534.375</v>
      </c>
      <c r="K16" s="30">
        <v>534.375</v>
      </c>
      <c r="L16" s="30">
        <v>534.375</v>
      </c>
      <c r="M16" s="30">
        <v>534.375</v>
      </c>
      <c r="N16" s="30">
        <v>534.375</v>
      </c>
      <c r="O16" s="30">
        <v>534.375</v>
      </c>
      <c r="P16" s="30">
        <v>534.375</v>
      </c>
      <c r="Q16" s="30">
        <v>534.375</v>
      </c>
      <c r="R16" s="30">
        <v>534.375</v>
      </c>
      <c r="S16" s="30">
        <v>534.375</v>
      </c>
      <c r="T16" s="30">
        <v>534.375</v>
      </c>
      <c r="U16" s="30">
        <v>534.375</v>
      </c>
      <c r="V16" s="30">
        <v>534.375</v>
      </c>
      <c r="W16" s="30">
        <v>534.375</v>
      </c>
      <c r="X16" s="30">
        <v>534.375</v>
      </c>
      <c r="Y16" s="30">
        <v>534.375</v>
      </c>
      <c r="Z16" s="30">
        <v>534.375</v>
      </c>
      <c r="AA16" s="30">
        <v>534.375</v>
      </c>
      <c r="AB16" s="30">
        <v>534.375</v>
      </c>
      <c r="AC16" s="30">
        <v>534.375</v>
      </c>
      <c r="AD16" s="30">
        <v>534.375</v>
      </c>
      <c r="AE16" s="30">
        <v>534.375</v>
      </c>
      <c r="AF16" s="30">
        <v>534.375</v>
      </c>
      <c r="AG16" s="30">
        <v>534.375</v>
      </c>
      <c r="AH16" s="30">
        <v>534.375</v>
      </c>
      <c r="AI16" s="30">
        <v>534.375</v>
      </c>
      <c r="AJ16" s="30">
        <v>534.375</v>
      </c>
      <c r="AK16" s="30">
        <v>534.375</v>
      </c>
      <c r="AL16" s="30">
        <v>534.375</v>
      </c>
      <c r="AM16" s="30">
        <v>534.375</v>
      </c>
      <c r="AN16" s="30">
        <v>534.375</v>
      </c>
      <c r="AO16" s="30">
        <v>534.375</v>
      </c>
      <c r="AP16" s="30">
        <v>534.375</v>
      </c>
      <c r="AQ16" s="30">
        <v>534.375</v>
      </c>
      <c r="AR16" s="30">
        <v>534.375</v>
      </c>
      <c r="AS16" s="30">
        <v>534.375</v>
      </c>
      <c r="AT16" s="30">
        <v>534.375</v>
      </c>
      <c r="AU16" s="30">
        <v>534.375</v>
      </c>
      <c r="AV16" s="30">
        <v>534.375</v>
      </c>
      <c r="AW16" s="30">
        <v>534.375</v>
      </c>
      <c r="AX16" s="30">
        <v>534.375</v>
      </c>
      <c r="AY16" s="30">
        <v>534.375</v>
      </c>
      <c r="AZ16" s="30">
        <v>534.375</v>
      </c>
      <c r="BA16" s="30">
        <v>534.375</v>
      </c>
      <c r="BB16" s="30">
        <v>534.375</v>
      </c>
      <c r="BC16" s="30">
        <v>534.375</v>
      </c>
      <c r="BD16" s="30">
        <v>534.375</v>
      </c>
      <c r="BE16" s="30">
        <v>534.375</v>
      </c>
      <c r="BF16" s="30">
        <v>534.375</v>
      </c>
      <c r="BG16" s="30">
        <v>534.375</v>
      </c>
      <c r="BH16" s="30">
        <v>534.375</v>
      </c>
      <c r="BI16" s="30">
        <v>534.375</v>
      </c>
      <c r="BJ16" s="30">
        <v>534.375</v>
      </c>
      <c r="BK16" s="30">
        <v>534.375</v>
      </c>
      <c r="BL16" s="30">
        <v>534.375</v>
      </c>
      <c r="BM16" s="30">
        <v>534.375</v>
      </c>
      <c r="BN16" s="30">
        <v>534.375</v>
      </c>
      <c r="BO16" s="30">
        <v>534.375</v>
      </c>
      <c r="BP16" s="30">
        <v>534.375</v>
      </c>
      <c r="BQ16" s="30">
        <v>534.375</v>
      </c>
      <c r="BR16" s="30">
        <v>534.375</v>
      </c>
      <c r="BS16" s="30">
        <v>534.375</v>
      </c>
      <c r="BT16" s="30">
        <v>534.375</v>
      </c>
      <c r="BU16" s="30">
        <v>534.375</v>
      </c>
      <c r="BV16" s="30">
        <v>534.375</v>
      </c>
      <c r="BW16" s="30">
        <v>534.375</v>
      </c>
      <c r="BX16" s="30">
        <v>534.375</v>
      </c>
      <c r="BY16" s="30">
        <v>534.375</v>
      </c>
      <c r="BZ16" s="30">
        <v>534.375</v>
      </c>
      <c r="CA16" s="30">
        <v>534.375</v>
      </c>
      <c r="CB16" s="30">
        <v>534.375</v>
      </c>
      <c r="CC16" s="30">
        <v>534.375</v>
      </c>
      <c r="CD16" s="30">
        <v>534.375</v>
      </c>
      <c r="CE16" s="30">
        <v>534.375</v>
      </c>
      <c r="CF16" s="30">
        <v>534.375</v>
      </c>
      <c r="CG16" s="30">
        <v>534.375</v>
      </c>
      <c r="CH16" s="30">
        <v>534.375</v>
      </c>
      <c r="CI16" s="30">
        <v>534.375</v>
      </c>
      <c r="CJ16" s="30">
        <v>534.375</v>
      </c>
      <c r="CK16" s="30">
        <v>534.375</v>
      </c>
      <c r="CL16" s="30">
        <v>534.375</v>
      </c>
      <c r="CM16" s="30">
        <v>534.375</v>
      </c>
      <c r="CN16" s="30">
        <v>534.375</v>
      </c>
      <c r="CO16" s="30">
        <v>534.375</v>
      </c>
      <c r="CP16" s="30">
        <v>534.375</v>
      </c>
      <c r="CQ16" s="30">
        <v>534.375</v>
      </c>
      <c r="CR16" s="30">
        <v>534.375</v>
      </c>
      <c r="CS16" s="30">
        <v>534.375</v>
      </c>
      <c r="CT16" s="30">
        <v>534.375</v>
      </c>
      <c r="CU16" s="30">
        <v>534.375</v>
      </c>
      <c r="CV16" s="30">
        <v>534.375</v>
      </c>
      <c r="CW16" s="30">
        <v>534.375</v>
      </c>
      <c r="CX16" s="30">
        <v>534.375</v>
      </c>
      <c r="CY16" s="30">
        <v>534.375</v>
      </c>
      <c r="CZ16" s="30">
        <v>534.375</v>
      </c>
      <c r="DA16" s="30">
        <v>534.375</v>
      </c>
      <c r="DB16" s="30">
        <v>534.375</v>
      </c>
    </row>
    <row r="17" spans="1:106" x14ac:dyDescent="0.45">
      <c r="A17" s="27" t="s">
        <v>186</v>
      </c>
      <c r="B17" s="28" t="s">
        <v>18</v>
      </c>
      <c r="C17" s="29">
        <v>0</v>
      </c>
      <c r="D17" s="29">
        <v>0</v>
      </c>
      <c r="E17" s="29">
        <v>0</v>
      </c>
      <c r="F17" s="29">
        <v>0</v>
      </c>
      <c r="G17" s="29">
        <v>467.40921924999998</v>
      </c>
      <c r="H17" s="29">
        <v>464.29828843884923</v>
      </c>
      <c r="I17" s="29">
        <v>461.17800744780402</v>
      </c>
      <c r="J17" s="29">
        <v>458.04828973887749</v>
      </c>
      <c r="K17" s="29">
        <v>454.90904815374989</v>
      </c>
      <c r="L17" s="29">
        <v>451.76019490913768</v>
      </c>
      <c r="M17" s="29">
        <v>448.60164159213349</v>
      </c>
      <c r="N17" s="29">
        <v>445.43329915550862</v>
      </c>
      <c r="O17" s="29">
        <v>442.25507791298128</v>
      </c>
      <c r="P17" s="29">
        <v>439.06688753444882</v>
      </c>
      <c r="Q17" s="29">
        <v>435.86863704118821</v>
      </c>
      <c r="R17" s="29">
        <v>432.66023480101637</v>
      </c>
      <c r="S17" s="29">
        <v>429.44158852341621</v>
      </c>
      <c r="T17" s="29">
        <v>426.21260525462969</v>
      </c>
      <c r="U17" s="29">
        <v>422.9731913727087</v>
      </c>
      <c r="V17" s="29">
        <v>419.72325258253488</v>
      </c>
      <c r="W17" s="29">
        <v>416.46269391079932</v>
      </c>
      <c r="X17" s="29">
        <v>413.19141970094478</v>
      </c>
      <c r="Y17" s="29">
        <v>409.90933360807259</v>
      </c>
      <c r="Z17" s="29">
        <v>406.61633859381158</v>
      </c>
      <c r="AA17" s="29">
        <v>403.31233692114517</v>
      </c>
      <c r="AB17" s="29">
        <v>399.99723014920579</v>
      </c>
      <c r="AC17" s="29">
        <v>396.67091912802721</v>
      </c>
      <c r="AD17" s="29">
        <v>393.33330399325752</v>
      </c>
      <c r="AE17" s="29">
        <v>389.98428416083652</v>
      </c>
      <c r="AF17" s="29">
        <v>386.62375832162883</v>
      </c>
      <c r="AG17" s="29">
        <v>383.25162443602147</v>
      </c>
      <c r="AH17" s="29">
        <v>379.86777972847892</v>
      </c>
      <c r="AI17" s="29">
        <v>376.47212068205818</v>
      </c>
      <c r="AJ17" s="29">
        <v>373.06454303288473</v>
      </c>
      <c r="AK17" s="29">
        <v>369.6449417645847</v>
      </c>
      <c r="AL17" s="29">
        <v>366.21321110267962</v>
      </c>
      <c r="AM17" s="29">
        <v>362.76924450893421</v>
      </c>
      <c r="AN17" s="29">
        <v>359.31293467567008</v>
      </c>
      <c r="AO17" s="29">
        <v>355.84417352002771</v>
      </c>
      <c r="AP17" s="29">
        <v>352.36285217819449</v>
      </c>
      <c r="AQ17" s="29">
        <v>348.86886099958519</v>
      </c>
      <c r="AR17" s="29">
        <v>345.36208954098032</v>
      </c>
      <c r="AS17" s="29">
        <v>341.84242656062122</v>
      </c>
      <c r="AT17" s="29">
        <v>338.3097600122627</v>
      </c>
      <c r="AU17" s="29">
        <v>334.76397703917809</v>
      </c>
      <c r="AV17" s="29">
        <v>331.20496396812428</v>
      </c>
      <c r="AW17" s="29">
        <v>327.63260630325789</v>
      </c>
      <c r="AX17" s="29">
        <v>324.04678872000972</v>
      </c>
      <c r="AY17" s="29">
        <v>320.44739505891113</v>
      </c>
      <c r="AZ17" s="29">
        <v>316.83430831937812</v>
      </c>
      <c r="BA17" s="29">
        <v>313.2074106534443</v>
      </c>
      <c r="BB17" s="29">
        <v>309.5665833594519</v>
      </c>
      <c r="BC17" s="29">
        <v>305.91170687569371</v>
      </c>
      <c r="BD17" s="29">
        <v>302.24266077400881</v>
      </c>
      <c r="BE17" s="29">
        <v>298.55932375333089</v>
      </c>
      <c r="BF17" s="29">
        <v>294.8615736331883</v>
      </c>
      <c r="BG17" s="29">
        <v>291.14928734715409</v>
      </c>
      <c r="BH17" s="29">
        <v>287.42234093625302</v>
      </c>
      <c r="BI17" s="29">
        <v>283.68060954231282</v>
      </c>
      <c r="BJ17" s="29">
        <v>279.92396740127151</v>
      </c>
      <c r="BK17" s="29">
        <v>276.15228783643272</v>
      </c>
      <c r="BL17" s="29">
        <v>272.36544325166909</v>
      </c>
      <c r="BM17" s="29">
        <v>268.56330512458231</v>
      </c>
      <c r="BN17" s="29">
        <v>264.74574399960221</v>
      </c>
      <c r="BO17" s="29">
        <v>260.91262948104492</v>
      </c>
      <c r="BP17" s="29">
        <v>257.06383022611129</v>
      </c>
      <c r="BQ17" s="29">
        <v>253.19921393783989</v>
      </c>
      <c r="BR17" s="29">
        <v>249.3186473580015</v>
      </c>
      <c r="BS17" s="29">
        <v>245.4219962599484</v>
      </c>
      <c r="BT17" s="29">
        <v>241.50912544140249</v>
      </c>
      <c r="BU17" s="29">
        <v>237.57989871719701</v>
      </c>
      <c r="BV17" s="29">
        <v>233.6341789119605</v>
      </c>
      <c r="BW17" s="29">
        <v>229.67182785274619</v>
      </c>
      <c r="BX17" s="29">
        <v>225.69270636160979</v>
      </c>
      <c r="BY17" s="29">
        <v>221.69667424812951</v>
      </c>
      <c r="BZ17" s="29">
        <v>217.6835903018723</v>
      </c>
      <c r="CA17" s="29">
        <v>213.65331228480309</v>
      </c>
      <c r="CB17" s="29">
        <v>209.60569692363811</v>
      </c>
      <c r="CC17" s="29">
        <v>205.5405999021425</v>
      </c>
      <c r="CD17" s="29">
        <v>201.45787585336871</v>
      </c>
      <c r="CE17" s="29">
        <v>197.3573783518394</v>
      </c>
      <c r="CF17" s="29">
        <v>193.23895990567189</v>
      </c>
      <c r="CG17" s="29">
        <v>189.10247194864311</v>
      </c>
      <c r="CH17" s="29">
        <v>184.94776483219769</v>
      </c>
      <c r="CI17" s="29">
        <v>180.77468781739441</v>
      </c>
      <c r="CJ17" s="29">
        <v>176.58308906679471</v>
      </c>
      <c r="CK17" s="29">
        <v>172.37281563629131</v>
      </c>
      <c r="CL17" s="29">
        <v>168.1437134668754</v>
      </c>
      <c r="CM17" s="29">
        <v>163.89562737634111</v>
      </c>
      <c r="CN17" s="29">
        <v>159.62840105093159</v>
      </c>
      <c r="CO17" s="29">
        <v>155.34187703692359</v>
      </c>
      <c r="CP17" s="29">
        <v>151.03589673214489</v>
      </c>
      <c r="CQ17" s="29">
        <v>146.71030037743341</v>
      </c>
      <c r="CR17" s="29">
        <v>142.36492704803189</v>
      </c>
      <c r="CS17" s="29">
        <v>137.99961464491679</v>
      </c>
      <c r="CT17" s="29">
        <v>133.61419988606599</v>
      </c>
      <c r="CU17" s="29">
        <v>129.20851829766011</v>
      </c>
      <c r="CV17" s="29">
        <v>124.7824042052173</v>
      </c>
      <c r="CW17" s="29">
        <v>120.3356907246654</v>
      </c>
      <c r="CX17" s="29">
        <v>115.8682097533455</v>
      </c>
      <c r="CY17" s="29">
        <v>111.37979196094901</v>
      </c>
      <c r="CZ17" s="29">
        <v>106.8702667803894</v>
      </c>
      <c r="DA17" s="29">
        <v>102.3394623986044</v>
      </c>
      <c r="DB17" s="29">
        <v>97.787205747289363</v>
      </c>
    </row>
    <row r="18" spans="1:106" x14ac:dyDescent="0.45">
      <c r="A18" s="24" t="s">
        <v>187</v>
      </c>
      <c r="B18" s="25" t="s">
        <v>18</v>
      </c>
      <c r="C18" s="30">
        <v>0</v>
      </c>
      <c r="D18" s="30">
        <v>0</v>
      </c>
      <c r="E18" s="30">
        <v>0</v>
      </c>
      <c r="F18" s="30">
        <v>0</v>
      </c>
      <c r="G18" s="30">
        <v>741.23625634479697</v>
      </c>
      <c r="H18" s="30">
        <v>730.94130834000816</v>
      </c>
      <c r="I18" s="30">
        <v>720.64636033521924</v>
      </c>
      <c r="J18" s="30">
        <v>710.35141233043043</v>
      </c>
      <c r="K18" s="30">
        <v>700.05646432564163</v>
      </c>
      <c r="L18" s="30">
        <v>689.76151632085271</v>
      </c>
      <c r="M18" s="30">
        <v>679.4665683160639</v>
      </c>
      <c r="N18" s="30">
        <v>669.17162031127509</v>
      </c>
      <c r="O18" s="30">
        <v>658.87667230648617</v>
      </c>
      <c r="P18" s="30">
        <v>648.58172430169736</v>
      </c>
      <c r="Q18" s="30">
        <v>638.28677629690844</v>
      </c>
      <c r="R18" s="30">
        <v>627.99182829211964</v>
      </c>
      <c r="S18" s="30">
        <v>617.69688028733083</v>
      </c>
      <c r="T18" s="30">
        <v>607.40193228254191</v>
      </c>
      <c r="U18" s="30">
        <v>597.1069842777531</v>
      </c>
      <c r="V18" s="30">
        <v>586.81203627296429</v>
      </c>
      <c r="W18" s="30">
        <v>576.51708826817537</v>
      </c>
      <c r="X18" s="30">
        <v>566.22214026338656</v>
      </c>
      <c r="Y18" s="30">
        <v>555.92719225859776</v>
      </c>
      <c r="Z18" s="30">
        <v>545.63224425380884</v>
      </c>
      <c r="AA18" s="30">
        <v>535.33729624902003</v>
      </c>
      <c r="AB18" s="30">
        <v>525.04234824423122</v>
      </c>
      <c r="AC18" s="30">
        <v>514.7474002394423</v>
      </c>
      <c r="AD18" s="30">
        <v>504.45245223465349</v>
      </c>
      <c r="AE18" s="30">
        <v>494.15750422986463</v>
      </c>
      <c r="AF18" s="30">
        <v>483.86255622507582</v>
      </c>
      <c r="AG18" s="30">
        <v>473.5676082202869</v>
      </c>
      <c r="AH18" s="30">
        <v>463.27266021549809</v>
      </c>
      <c r="AI18" s="30">
        <v>452.97771221070923</v>
      </c>
      <c r="AJ18" s="30">
        <v>442.68276420592042</v>
      </c>
      <c r="AK18" s="30">
        <v>432.38781620113161</v>
      </c>
      <c r="AL18" s="30">
        <v>422.09286819634269</v>
      </c>
      <c r="AM18" s="30">
        <v>411.79792019155383</v>
      </c>
      <c r="AN18" s="30">
        <v>401.50297218676502</v>
      </c>
      <c r="AO18" s="30">
        <v>391.20802418197621</v>
      </c>
      <c r="AP18" s="30">
        <v>380.91307617718729</v>
      </c>
      <c r="AQ18" s="30">
        <v>370.61812817239837</v>
      </c>
      <c r="AR18" s="30">
        <v>360.32318016760962</v>
      </c>
      <c r="AS18" s="30">
        <v>350.02823216282081</v>
      </c>
      <c r="AT18" s="30">
        <v>339.73328415803189</v>
      </c>
      <c r="AU18" s="30">
        <v>329.43833615324297</v>
      </c>
      <c r="AV18" s="30">
        <v>319.14338814845422</v>
      </c>
      <c r="AW18" s="30">
        <v>308.84844014366541</v>
      </c>
      <c r="AX18" s="30">
        <v>298.55349213887649</v>
      </c>
      <c r="AY18" s="30">
        <v>288.25854413408769</v>
      </c>
      <c r="AZ18" s="30">
        <v>277.96359612929882</v>
      </c>
      <c r="BA18" s="30">
        <v>267.66864812451001</v>
      </c>
      <c r="BB18" s="30">
        <v>257.37370011972109</v>
      </c>
      <c r="BC18" s="30">
        <v>247.07875211493231</v>
      </c>
      <c r="BD18" s="30">
        <v>236.78380411014339</v>
      </c>
      <c r="BE18" s="30">
        <v>226.48885610535461</v>
      </c>
      <c r="BF18" s="30">
        <v>216.19390810056569</v>
      </c>
      <c r="BG18" s="30">
        <v>205.89896009577691</v>
      </c>
      <c r="BH18" s="30">
        <v>195.60401209098799</v>
      </c>
      <c r="BI18" s="30">
        <v>185.30906408619919</v>
      </c>
      <c r="BJ18" s="30">
        <v>175.01411608141029</v>
      </c>
      <c r="BK18" s="30">
        <v>164.71916807662149</v>
      </c>
      <c r="BL18" s="30">
        <v>154.42422007183259</v>
      </c>
      <c r="BM18" s="30">
        <v>144.12927206704379</v>
      </c>
      <c r="BN18" s="30">
        <v>133.83432406225501</v>
      </c>
      <c r="BO18" s="30">
        <v>123.5393760574661</v>
      </c>
      <c r="BP18" s="30">
        <v>113.24442805267731</v>
      </c>
      <c r="BQ18" s="30">
        <v>102.9494800478884</v>
      </c>
      <c r="BR18" s="30">
        <v>92.65453204309955</v>
      </c>
      <c r="BS18" s="30">
        <v>82.3595840383107</v>
      </c>
      <c r="BT18" s="30">
        <v>72.06463603352185</v>
      </c>
      <c r="BU18" s="30">
        <v>61.769688028733</v>
      </c>
      <c r="BV18" s="30">
        <v>51.474740023944157</v>
      </c>
      <c r="BW18" s="30">
        <v>41.179792019155308</v>
      </c>
      <c r="BX18" s="30">
        <v>30.884844014366461</v>
      </c>
      <c r="BY18" s="30">
        <v>20.589896009577611</v>
      </c>
      <c r="BZ18" s="30">
        <v>10.294948004788759</v>
      </c>
      <c r="CA18" s="30">
        <v>0</v>
      </c>
      <c r="CB18" s="30">
        <v>0</v>
      </c>
      <c r="CC18" s="30">
        <v>0</v>
      </c>
      <c r="CD18" s="30">
        <v>0</v>
      </c>
      <c r="CE18" s="30">
        <v>0</v>
      </c>
      <c r="CF18" s="30">
        <v>0</v>
      </c>
      <c r="CG18" s="30">
        <v>0</v>
      </c>
      <c r="CH18" s="30">
        <v>0</v>
      </c>
      <c r="CI18" s="30">
        <v>0</v>
      </c>
      <c r="CJ18" s="30">
        <v>0</v>
      </c>
      <c r="CK18" s="30">
        <v>0</v>
      </c>
      <c r="CL18" s="30">
        <v>0</v>
      </c>
      <c r="CM18" s="30">
        <v>0</v>
      </c>
      <c r="CN18" s="30">
        <v>0</v>
      </c>
      <c r="CO18" s="30">
        <v>0</v>
      </c>
      <c r="CP18" s="30">
        <v>0</v>
      </c>
      <c r="CQ18" s="30">
        <v>0</v>
      </c>
      <c r="CR18" s="30">
        <v>0</v>
      </c>
      <c r="CS18" s="30">
        <v>0</v>
      </c>
      <c r="CT18" s="30">
        <v>0</v>
      </c>
      <c r="CU18" s="30">
        <v>0</v>
      </c>
      <c r="CV18" s="30">
        <v>0</v>
      </c>
      <c r="CW18" s="30">
        <v>0</v>
      </c>
      <c r="CX18" s="30">
        <v>0</v>
      </c>
      <c r="CY18" s="30">
        <v>0</v>
      </c>
      <c r="CZ18" s="30">
        <v>0</v>
      </c>
      <c r="DA18" s="30">
        <v>0</v>
      </c>
      <c r="DB18" s="30">
        <v>0</v>
      </c>
    </row>
    <row r="19" spans="1:106" x14ac:dyDescent="0.45">
      <c r="A19" s="27" t="s">
        <v>188</v>
      </c>
      <c r="B19" s="28" t="s">
        <v>18</v>
      </c>
      <c r="C19" s="29">
        <v>0</v>
      </c>
      <c r="D19" s="29">
        <v>0</v>
      </c>
      <c r="E19" s="29">
        <v>0</v>
      </c>
      <c r="F19" s="29">
        <v>0</v>
      </c>
      <c r="G19" s="29">
        <v>-273.82703709479699</v>
      </c>
      <c r="H19" s="29">
        <v>-266.64301990115888</v>
      </c>
      <c r="I19" s="29">
        <v>-259.46835288741522</v>
      </c>
      <c r="J19" s="29">
        <v>-252.30312259155289</v>
      </c>
      <c r="K19" s="29">
        <v>-245.14741617189171</v>
      </c>
      <c r="L19" s="29">
        <v>-238.001321411715</v>
      </c>
      <c r="M19" s="29">
        <v>-230.86492672393041</v>
      </c>
      <c r="N19" s="29">
        <v>-223.7383211557665</v>
      </c>
      <c r="O19" s="29">
        <v>-216.62159439350489</v>
      </c>
      <c r="P19" s="29">
        <v>-209.51483676724851</v>
      </c>
      <c r="Q19" s="29">
        <v>-202.41813925572021</v>
      </c>
      <c r="R19" s="29">
        <v>-195.33159349110329</v>
      </c>
      <c r="S19" s="29">
        <v>-188.2552917639147</v>
      </c>
      <c r="T19" s="29">
        <v>-181.18932702791221</v>
      </c>
      <c r="U19" s="29">
        <v>-174.1337929050444</v>
      </c>
      <c r="V19" s="29">
        <v>-167.08878369042941</v>
      </c>
      <c r="W19" s="29">
        <v>-160.05439435737611</v>
      </c>
      <c r="X19" s="29">
        <v>-153.0307205624417</v>
      </c>
      <c r="Y19" s="29">
        <v>-146.01785865052511</v>
      </c>
      <c r="Z19" s="29">
        <v>-139.0159056599972</v>
      </c>
      <c r="AA19" s="29">
        <v>-132.02495932787491</v>
      </c>
      <c r="AB19" s="29">
        <v>-125.0451180950254</v>
      </c>
      <c r="AC19" s="29">
        <v>-118.07648111141511</v>
      </c>
      <c r="AD19" s="29">
        <v>-111.119148241396</v>
      </c>
      <c r="AE19" s="29">
        <v>-104.1732200690281</v>
      </c>
      <c r="AF19" s="29">
        <v>-97.238797903446994</v>
      </c>
      <c r="AG19" s="29">
        <v>-90.31598378426537</v>
      </c>
      <c r="AH19" s="29">
        <v>-83.40488048701917</v>
      </c>
      <c r="AI19" s="29">
        <v>-76.505591528651053</v>
      </c>
      <c r="AJ19" s="29">
        <v>-69.618221173035693</v>
      </c>
      <c r="AK19" s="29">
        <v>-62.742874436546863</v>
      </c>
      <c r="AL19" s="29">
        <v>-55.879657093663127</v>
      </c>
      <c r="AM19" s="29">
        <v>-49.028675682619621</v>
      </c>
      <c r="AN19" s="29">
        <v>-42.190037511094829</v>
      </c>
      <c r="AO19" s="29">
        <v>-35.363850661948497</v>
      </c>
      <c r="AP19" s="29">
        <v>-28.550223998992749</v>
      </c>
      <c r="AQ19" s="29">
        <v>-21.74926717281323</v>
      </c>
      <c r="AR19" s="29">
        <v>-14.96109062662936</v>
      </c>
      <c r="AS19" s="29">
        <v>-8.1858056021995367</v>
      </c>
      <c r="AT19" s="29">
        <v>-1.423524145769193</v>
      </c>
      <c r="AU19" s="29">
        <v>5.3256408859351154</v>
      </c>
      <c r="AV19" s="29">
        <v>12.06157581967005</v>
      </c>
      <c r="AW19" s="29">
        <v>18.784166159592591</v>
      </c>
      <c r="AX19" s="29">
        <v>25.493296581133169</v>
      </c>
      <c r="AY19" s="29">
        <v>32.188850924823377</v>
      </c>
      <c r="AZ19" s="29">
        <v>38.870712190079303</v>
      </c>
      <c r="BA19" s="29">
        <v>45.538762528934342</v>
      </c>
      <c r="BB19" s="29">
        <v>52.192883239730797</v>
      </c>
      <c r="BC19" s="29">
        <v>58.832954760761403</v>
      </c>
      <c r="BD19" s="29">
        <v>65.458856663865333</v>
      </c>
      <c r="BE19" s="29">
        <v>72.070467647976301</v>
      </c>
      <c r="BF19" s="29">
        <v>78.667665532622578</v>
      </c>
      <c r="BG19" s="29">
        <v>85.2503272513772</v>
      </c>
      <c r="BH19" s="29">
        <v>91.818328845265</v>
      </c>
      <c r="BI19" s="29">
        <v>98.371545456113637</v>
      </c>
      <c r="BJ19" s="29">
        <v>104.9098513198612</v>
      </c>
      <c r="BK19" s="29">
        <v>111.43311975981121</v>
      </c>
      <c r="BL19" s="29">
        <v>117.9412231798365</v>
      </c>
      <c r="BM19" s="29">
        <v>124.4340330575385</v>
      </c>
      <c r="BN19" s="29">
        <v>130.9114199373472</v>
      </c>
      <c r="BO19" s="29">
        <v>137.3732534235788</v>
      </c>
      <c r="BP19" s="29">
        <v>143.8194021734341</v>
      </c>
      <c r="BQ19" s="29">
        <v>150.2497338899515</v>
      </c>
      <c r="BR19" s="29">
        <v>156.66411531490189</v>
      </c>
      <c r="BS19" s="29">
        <v>163.06241222163769</v>
      </c>
      <c r="BT19" s="29">
        <v>169.44448940788061</v>
      </c>
      <c r="BU19" s="29">
        <v>175.810210688464</v>
      </c>
      <c r="BV19" s="29">
        <v>182.1594388880163</v>
      </c>
      <c r="BW19" s="29">
        <v>188.4920358335909</v>
      </c>
      <c r="BX19" s="29">
        <v>194.80786234724329</v>
      </c>
      <c r="BY19" s="29">
        <v>201.1067782385519</v>
      </c>
      <c r="BZ19" s="29">
        <v>207.38864229708349</v>
      </c>
      <c r="CA19" s="29">
        <v>213.65331228480309</v>
      </c>
      <c r="CB19" s="29">
        <v>209.60569692363811</v>
      </c>
      <c r="CC19" s="29">
        <v>205.5405999021425</v>
      </c>
      <c r="CD19" s="29">
        <v>201.45787585336871</v>
      </c>
      <c r="CE19" s="29">
        <v>197.3573783518394</v>
      </c>
      <c r="CF19" s="29">
        <v>193.23895990567189</v>
      </c>
      <c r="CG19" s="29">
        <v>189.10247194864311</v>
      </c>
      <c r="CH19" s="29">
        <v>184.94776483219769</v>
      </c>
      <c r="CI19" s="29">
        <v>180.77468781739441</v>
      </c>
      <c r="CJ19" s="29">
        <v>176.58308906679471</v>
      </c>
      <c r="CK19" s="29">
        <v>172.37281563629131</v>
      </c>
      <c r="CL19" s="29">
        <v>168.1437134668754</v>
      </c>
      <c r="CM19" s="29">
        <v>163.89562737634111</v>
      </c>
      <c r="CN19" s="29">
        <v>159.62840105093159</v>
      </c>
      <c r="CO19" s="29">
        <v>155.34187703692359</v>
      </c>
      <c r="CP19" s="29">
        <v>151.03589673214489</v>
      </c>
      <c r="CQ19" s="29">
        <v>146.71030037743341</v>
      </c>
      <c r="CR19" s="29">
        <v>142.36492704803189</v>
      </c>
      <c r="CS19" s="29">
        <v>137.99961464491679</v>
      </c>
      <c r="CT19" s="29">
        <v>133.61419988606599</v>
      </c>
      <c r="CU19" s="29">
        <v>129.20851829766011</v>
      </c>
      <c r="CV19" s="29">
        <v>124.7824042052173</v>
      </c>
      <c r="CW19" s="29">
        <v>120.3356907246654</v>
      </c>
      <c r="CX19" s="29">
        <v>115.8682097533455</v>
      </c>
      <c r="CY19" s="29">
        <v>111.37979196094901</v>
      </c>
      <c r="CZ19" s="29">
        <v>106.8702667803894</v>
      </c>
      <c r="DA19" s="29">
        <v>102.3394623986044</v>
      </c>
      <c r="DB19" s="29">
        <v>97.787205747289363</v>
      </c>
    </row>
    <row r="20" spans="1:106" x14ac:dyDescent="0.45">
      <c r="A20" s="24" t="s">
        <v>189</v>
      </c>
      <c r="B20" s="25" t="s">
        <v>18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1.3314102214837791</v>
      </c>
      <c r="AV20" s="30">
        <v>3.0153939549175131</v>
      </c>
      <c r="AW20" s="30">
        <v>4.6960415398981468</v>
      </c>
      <c r="AX20" s="30">
        <v>6.3733241452832914</v>
      </c>
      <c r="AY20" s="30">
        <v>8.0472127312058461</v>
      </c>
      <c r="AZ20" s="30">
        <v>9.7176780475198257</v>
      </c>
      <c r="BA20" s="30">
        <v>11.384690632233591</v>
      </c>
      <c r="BB20" s="30">
        <v>13.048220809932699</v>
      </c>
      <c r="BC20" s="30">
        <v>14.708238690190351</v>
      </c>
      <c r="BD20" s="30">
        <v>16.36471416596633</v>
      </c>
      <c r="BE20" s="30">
        <v>18.017616911994079</v>
      </c>
      <c r="BF20" s="30">
        <v>19.666916383155641</v>
      </c>
      <c r="BG20" s="30">
        <v>21.3125818128443</v>
      </c>
      <c r="BH20" s="30">
        <v>22.95458221131625</v>
      </c>
      <c r="BI20" s="30">
        <v>24.592886364028409</v>
      </c>
      <c r="BJ20" s="30">
        <v>26.227462829965301</v>
      </c>
      <c r="BK20" s="30">
        <v>27.858279939952808</v>
      </c>
      <c r="BL20" s="30">
        <v>29.485305794959132</v>
      </c>
      <c r="BM20" s="30">
        <v>31.108508264384621</v>
      </c>
      <c r="BN20" s="30">
        <v>32.727854984336801</v>
      </c>
      <c r="BO20" s="30">
        <v>34.343313355894693</v>
      </c>
      <c r="BP20" s="30">
        <v>35.954850543358518</v>
      </c>
      <c r="BQ20" s="30">
        <v>37.562433472487868</v>
      </c>
      <c r="BR20" s="30">
        <v>39.166028828725487</v>
      </c>
      <c r="BS20" s="30">
        <v>40.765603055409429</v>
      </c>
      <c r="BT20" s="30">
        <v>42.36112235197016</v>
      </c>
      <c r="BU20" s="30">
        <v>43.952552672115999</v>
      </c>
      <c r="BV20" s="30">
        <v>45.539859722004081</v>
      </c>
      <c r="BW20" s="30">
        <v>47.123008958397733</v>
      </c>
      <c r="BX20" s="30">
        <v>48.701965586810843</v>
      </c>
      <c r="BY20" s="30">
        <v>50.276694559637967</v>
      </c>
      <c r="BZ20" s="30">
        <v>51.847160574270887</v>
      </c>
      <c r="CA20" s="30">
        <v>53.413328071200773</v>
      </c>
      <c r="CB20" s="30">
        <v>52.401424230909527</v>
      </c>
      <c r="CC20" s="30">
        <v>51.385149975535633</v>
      </c>
      <c r="CD20" s="30">
        <v>50.364468963342183</v>
      </c>
      <c r="CE20" s="30">
        <v>49.339344587959857</v>
      </c>
      <c r="CF20" s="30">
        <v>48.309739976417973</v>
      </c>
      <c r="CG20" s="30">
        <v>47.275617987160793</v>
      </c>
      <c r="CH20" s="30">
        <v>46.236941208049423</v>
      </c>
      <c r="CI20" s="30">
        <v>45.193671954348588</v>
      </c>
      <c r="CJ20" s="30">
        <v>44.145772266698692</v>
      </c>
      <c r="CK20" s="30">
        <v>43.093203909072827</v>
      </c>
      <c r="CL20" s="30">
        <v>42.035928366718849</v>
      </c>
      <c r="CM20" s="30">
        <v>40.973906844085263</v>
      </c>
      <c r="CN20" s="30">
        <v>39.907100262732911</v>
      </c>
      <c r="CO20" s="30">
        <v>38.835469259230898</v>
      </c>
      <c r="CP20" s="30">
        <v>37.75897418303623</v>
      </c>
      <c r="CQ20" s="30">
        <v>36.67757509435836</v>
      </c>
      <c r="CR20" s="30">
        <v>35.591231762007958</v>
      </c>
      <c r="CS20" s="30">
        <v>34.499903661229212</v>
      </c>
      <c r="CT20" s="30">
        <v>33.403549971516497</v>
      </c>
      <c r="CU20" s="30">
        <v>32.302129574415027</v>
      </c>
      <c r="CV20" s="30">
        <v>31.195601051304319</v>
      </c>
      <c r="CW20" s="30">
        <v>30.083922681166339</v>
      </c>
      <c r="CX20" s="30">
        <v>28.967052438336371</v>
      </c>
      <c r="CY20" s="30">
        <v>27.844947990237241</v>
      </c>
      <c r="CZ20" s="30">
        <v>26.717566695097361</v>
      </c>
      <c r="DA20" s="30">
        <v>25.584865599651099</v>
      </c>
      <c r="DB20" s="30">
        <v>24.446801436822341</v>
      </c>
    </row>
    <row r="21" spans="1:106" x14ac:dyDescent="0.45">
      <c r="A21" s="27" t="s">
        <v>190</v>
      </c>
      <c r="B21" s="28" t="s">
        <v>18</v>
      </c>
      <c r="C21" s="29">
        <v>0</v>
      </c>
      <c r="D21" s="29">
        <v>0</v>
      </c>
      <c r="E21" s="29">
        <v>0</v>
      </c>
      <c r="F21" s="29">
        <v>0</v>
      </c>
      <c r="G21" s="29">
        <v>-273.82703709479699</v>
      </c>
      <c r="H21" s="29">
        <v>-266.64301990115888</v>
      </c>
      <c r="I21" s="29">
        <v>-259.46835288741522</v>
      </c>
      <c r="J21" s="29">
        <v>-252.30312259155289</v>
      </c>
      <c r="K21" s="29">
        <v>-245.14741617189171</v>
      </c>
      <c r="L21" s="29">
        <v>-238.001321411715</v>
      </c>
      <c r="M21" s="29">
        <v>-230.86492672393041</v>
      </c>
      <c r="N21" s="29">
        <v>-223.7383211557665</v>
      </c>
      <c r="O21" s="29">
        <v>-216.62159439350489</v>
      </c>
      <c r="P21" s="29">
        <v>-209.51483676724851</v>
      </c>
      <c r="Q21" s="29">
        <v>-202.41813925572021</v>
      </c>
      <c r="R21" s="29">
        <v>-195.33159349110329</v>
      </c>
      <c r="S21" s="29">
        <v>-188.2552917639147</v>
      </c>
      <c r="T21" s="29">
        <v>-181.18932702791221</v>
      </c>
      <c r="U21" s="29">
        <v>-174.1337929050444</v>
      </c>
      <c r="V21" s="29">
        <v>-167.08878369042941</v>
      </c>
      <c r="W21" s="29">
        <v>-160.05439435737611</v>
      </c>
      <c r="X21" s="29">
        <v>-153.0307205624417</v>
      </c>
      <c r="Y21" s="29">
        <v>-146.01785865052511</v>
      </c>
      <c r="Z21" s="29">
        <v>-139.0159056599972</v>
      </c>
      <c r="AA21" s="29">
        <v>-132.02495932787491</v>
      </c>
      <c r="AB21" s="29">
        <v>-125.0451180950254</v>
      </c>
      <c r="AC21" s="29">
        <v>-118.07648111141511</v>
      </c>
      <c r="AD21" s="29">
        <v>-111.119148241396</v>
      </c>
      <c r="AE21" s="29">
        <v>-104.1732200690281</v>
      </c>
      <c r="AF21" s="29">
        <v>-97.238797903446994</v>
      </c>
      <c r="AG21" s="29">
        <v>-90.31598378426537</v>
      </c>
      <c r="AH21" s="29">
        <v>-83.40488048701917</v>
      </c>
      <c r="AI21" s="29">
        <v>-76.505591528651053</v>
      </c>
      <c r="AJ21" s="29">
        <v>-69.618221173035693</v>
      </c>
      <c r="AK21" s="29">
        <v>-62.742874436546863</v>
      </c>
      <c r="AL21" s="29">
        <v>-55.879657093663127</v>
      </c>
      <c r="AM21" s="29">
        <v>-49.028675682619621</v>
      </c>
      <c r="AN21" s="29">
        <v>-42.190037511094829</v>
      </c>
      <c r="AO21" s="29">
        <v>-35.363850661948497</v>
      </c>
      <c r="AP21" s="29">
        <v>-28.550223998992749</v>
      </c>
      <c r="AQ21" s="29">
        <v>-21.74926717281323</v>
      </c>
      <c r="AR21" s="29">
        <v>-14.96109062662936</v>
      </c>
      <c r="AS21" s="29">
        <v>-8.1858056021995367</v>
      </c>
      <c r="AT21" s="29">
        <v>-1.423524145769193</v>
      </c>
      <c r="AU21" s="29">
        <v>3.994230664451337</v>
      </c>
      <c r="AV21" s="29">
        <v>9.0461818647525405</v>
      </c>
      <c r="AW21" s="29">
        <v>14.08812461969444</v>
      </c>
      <c r="AX21" s="29">
        <v>19.119972435849871</v>
      </c>
      <c r="AY21" s="29">
        <v>24.141638193617538</v>
      </c>
      <c r="AZ21" s="29">
        <v>29.153034142559481</v>
      </c>
      <c r="BA21" s="29">
        <v>34.154071896700763</v>
      </c>
      <c r="BB21" s="29">
        <v>39.144662429798103</v>
      </c>
      <c r="BC21" s="29">
        <v>44.124716070571047</v>
      </c>
      <c r="BD21" s="29">
        <v>49.094142497899</v>
      </c>
      <c r="BE21" s="29">
        <v>54.052850735982233</v>
      </c>
      <c r="BF21" s="29">
        <v>59.000749149466927</v>
      </c>
      <c r="BG21" s="29">
        <v>63.9377454385329</v>
      </c>
      <c r="BH21" s="29">
        <v>68.86374663394875</v>
      </c>
      <c r="BI21" s="29">
        <v>73.778659092085235</v>
      </c>
      <c r="BJ21" s="29">
        <v>78.682388489895885</v>
      </c>
      <c r="BK21" s="29">
        <v>83.574839819858425</v>
      </c>
      <c r="BL21" s="29">
        <v>88.455917384877395</v>
      </c>
      <c r="BM21" s="29">
        <v>93.325524793153846</v>
      </c>
      <c r="BN21" s="29">
        <v>98.183564953010404</v>
      </c>
      <c r="BO21" s="29">
        <v>103.02994006768409</v>
      </c>
      <c r="BP21" s="29">
        <v>107.8645516300756</v>
      </c>
      <c r="BQ21" s="29">
        <v>112.6873004174636</v>
      </c>
      <c r="BR21" s="29">
        <v>117.4980864861765</v>
      </c>
      <c r="BS21" s="29">
        <v>122.2968091662283</v>
      </c>
      <c r="BT21" s="29">
        <v>127.0833670559105</v>
      </c>
      <c r="BU21" s="29">
        <v>131.85765801634801</v>
      </c>
      <c r="BV21" s="29">
        <v>136.61957916601219</v>
      </c>
      <c r="BW21" s="29">
        <v>141.36902687519321</v>
      </c>
      <c r="BX21" s="29">
        <v>146.1058967604325</v>
      </c>
      <c r="BY21" s="29">
        <v>150.83008367891389</v>
      </c>
      <c r="BZ21" s="29">
        <v>155.54148172281259</v>
      </c>
      <c r="CA21" s="29">
        <v>160.2399842136023</v>
      </c>
      <c r="CB21" s="29">
        <v>157.20427269272861</v>
      </c>
      <c r="CC21" s="29">
        <v>154.15544992660691</v>
      </c>
      <c r="CD21" s="29">
        <v>151.0934068900265</v>
      </c>
      <c r="CE21" s="29">
        <v>148.0180337638796</v>
      </c>
      <c r="CF21" s="29">
        <v>144.92921992925389</v>
      </c>
      <c r="CG21" s="29">
        <v>141.82685396148241</v>
      </c>
      <c r="CH21" s="29">
        <v>138.71082362414819</v>
      </c>
      <c r="CI21" s="29">
        <v>135.58101586304579</v>
      </c>
      <c r="CJ21" s="29">
        <v>132.43731680009611</v>
      </c>
      <c r="CK21" s="29">
        <v>129.27961172721851</v>
      </c>
      <c r="CL21" s="29">
        <v>126.10778510015651</v>
      </c>
      <c r="CM21" s="29">
        <v>122.9217205322558</v>
      </c>
      <c r="CN21" s="29">
        <v>119.7213007881987</v>
      </c>
      <c r="CO21" s="29">
        <v>116.5064077776927</v>
      </c>
      <c r="CP21" s="29">
        <v>113.2769225491087</v>
      </c>
      <c r="CQ21" s="29">
        <v>110.0327252830751</v>
      </c>
      <c r="CR21" s="29">
        <v>106.77369528602389</v>
      </c>
      <c r="CS21" s="29">
        <v>103.49971098368761</v>
      </c>
      <c r="CT21" s="29">
        <v>100.21064991454951</v>
      </c>
      <c r="CU21" s="29">
        <v>96.906388723245101</v>
      </c>
      <c r="CV21" s="29">
        <v>93.586803153912967</v>
      </c>
      <c r="CW21" s="29">
        <v>90.251768043499027</v>
      </c>
      <c r="CX21" s="29">
        <v>86.901157315009101</v>
      </c>
      <c r="CY21" s="29">
        <v>83.534843970711734</v>
      </c>
      <c r="CZ21" s="29">
        <v>80.152700085292082</v>
      </c>
      <c r="DA21" s="29">
        <v>76.754596798953287</v>
      </c>
      <c r="DB21" s="29">
        <v>73.340404310467022</v>
      </c>
    </row>
    <row r="23" spans="1:106" x14ac:dyDescent="0.45">
      <c r="A23" s="61" t="s">
        <v>191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</row>
    <row r="24" spans="1:106" x14ac:dyDescent="0.45">
      <c r="A24" s="24" t="s">
        <v>192</v>
      </c>
      <c r="B24" s="25" t="s">
        <v>193</v>
      </c>
      <c r="C24" s="32"/>
      <c r="D24" s="32"/>
      <c r="E24" s="32"/>
      <c r="F24" s="32"/>
      <c r="G24" s="32">
        <v>0.7925293508623501</v>
      </c>
      <c r="H24" s="32">
        <v>0.79105892117296661</v>
      </c>
      <c r="I24" s="32">
        <v>0.78957614211405414</v>
      </c>
      <c r="J24" s="32">
        <v>0.7880809070090784</v>
      </c>
      <c r="K24" s="32">
        <v>0.78657310825617366</v>
      </c>
      <c r="L24" s="32">
        <v>0.78505263732011032</v>
      </c>
      <c r="M24" s="32">
        <v>0.7835193847241948</v>
      </c>
      <c r="N24" s="32">
        <v>0.78197324004209745</v>
      </c>
      <c r="O24" s="32">
        <v>0.78041409188961064</v>
      </c>
      <c r="P24" s="32">
        <v>0.77884182791633461</v>
      </c>
      <c r="Q24" s="32">
        <v>0.77725633479729217</v>
      </c>
      <c r="R24" s="32">
        <v>0.77565749822446883</v>
      </c>
      <c r="S24" s="32">
        <v>0.77404520289828149</v>
      </c>
      <c r="T24" s="32">
        <v>0.77241933251897177</v>
      </c>
      <c r="U24" s="32">
        <v>0.77077976977792473</v>
      </c>
      <c r="V24" s="32">
        <v>0.76912639634891344</v>
      </c>
      <c r="W24" s="32">
        <v>0.76745909287926561</v>
      </c>
      <c r="X24" s="32">
        <v>0.76577773898095525</v>
      </c>
      <c r="Y24" s="32">
        <v>0.76408221322161596</v>
      </c>
      <c r="Z24" s="32">
        <v>0.76237239311547678</v>
      </c>
      <c r="AA24" s="32">
        <v>0.76064815511421913</v>
      </c>
      <c r="AB24" s="32">
        <v>0.7589093745977542</v>
      </c>
      <c r="AC24" s="32">
        <v>0.7571559258649212</v>
      </c>
      <c r="AD24" s="32">
        <v>0.75538768212410279</v>
      </c>
      <c r="AE24" s="32">
        <v>0.75360451548376239</v>
      </c>
      <c r="AF24" s="32">
        <v>0.75180629694289536</v>
      </c>
      <c r="AG24" s="32">
        <v>0.74999289638140099</v>
      </c>
      <c r="AH24" s="32">
        <v>0.74816418255036798</v>
      </c>
      <c r="AI24" s="32">
        <v>0.74632002306227796</v>
      </c>
      <c r="AJ24" s="32">
        <v>0.74446028438112211</v>
      </c>
      <c r="AK24" s="32">
        <v>0.74258483181243284</v>
      </c>
      <c r="AL24" s="32">
        <v>0.74069352949322986</v>
      </c>
      <c r="AM24" s="32">
        <v>0.73878624038187601</v>
      </c>
      <c r="AN24" s="32">
        <v>0.73686282624784949</v>
      </c>
      <c r="AO24" s="32">
        <v>0.73492314766142242</v>
      </c>
      <c r="AP24" s="32">
        <v>0.73296706398325406</v>
      </c>
      <c r="AQ24" s="32">
        <v>0.73099443335389125</v>
      </c>
      <c r="AR24" s="32">
        <v>0.72900511268317769</v>
      </c>
      <c r="AS24" s="32">
        <v>0.72699895763957278</v>
      </c>
      <c r="AT24" s="32">
        <v>0.72497582263937699</v>
      </c>
      <c r="AU24" s="32">
        <v>0.72293556083586252</v>
      </c>
      <c r="AV24" s="32">
        <v>0.72087802410831192</v>
      </c>
      <c r="AW24" s="32">
        <v>0.71880306305095953</v>
      </c>
      <c r="AX24" s="32">
        <v>0.71671052696183823</v>
      </c>
      <c r="AY24" s="32">
        <v>0.71460026383152842</v>
      </c>
      <c r="AZ24" s="32">
        <v>0.71247212033181051</v>
      </c>
      <c r="BA24" s="32">
        <v>0.71032594180421749</v>
      </c>
      <c r="BB24" s="32">
        <v>0.70816157224848919</v>
      </c>
      <c r="BC24" s="32">
        <v>0.70597885431092589</v>
      </c>
      <c r="BD24" s="32">
        <v>0.70377762927264098</v>
      </c>
      <c r="BE24" s="32">
        <v>0.70155773703771174</v>
      </c>
      <c r="BF24" s="32">
        <v>0.69931901612122693</v>
      </c>
      <c r="BG24" s="32">
        <v>0.69706130363723062</v>
      </c>
      <c r="BH24" s="32">
        <v>0.69478443528656253</v>
      </c>
      <c r="BI24" s="32">
        <v>0.69248824534459019</v>
      </c>
      <c r="BJ24" s="32">
        <v>0.6901725666488383</v>
      </c>
      <c r="BK24" s="32">
        <v>0.68783723058650714</v>
      </c>
      <c r="BL24" s="32">
        <v>0.68548206708188464</v>
      </c>
      <c r="BM24" s="32">
        <v>0.68310690458364942</v>
      </c>
      <c r="BN24" s="32">
        <v>0.68071157005206173</v>
      </c>
      <c r="BO24" s="32">
        <v>0.67829588894604553</v>
      </c>
      <c r="BP24" s="32">
        <v>0.67585968521015671</v>
      </c>
      <c r="BQ24" s="32">
        <v>0.67340278126143926</v>
      </c>
      <c r="BR24" s="32">
        <v>0.67092499797616567</v>
      </c>
      <c r="BS24" s="32">
        <v>0.66842615467646571</v>
      </c>
      <c r="BT24" s="32">
        <v>0.66590606911683436</v>
      </c>
      <c r="BU24" s="32">
        <v>0.66336455747052736</v>
      </c>
      <c r="BV24" s="32">
        <v>0.66080143431583516</v>
      </c>
      <c r="BW24" s="32">
        <v>0.6582165126222389</v>
      </c>
      <c r="BX24" s="32">
        <v>0.65560960373644761</v>
      </c>
      <c r="BY24" s="32">
        <v>0.65298051736831164</v>
      </c>
      <c r="BZ24" s="32">
        <v>0.65032906157661563</v>
      </c>
      <c r="CA24" s="32">
        <v>0.64765504275474839</v>
      </c>
      <c r="CB24" s="32">
        <v>0.64495826561624614</v>
      </c>
      <c r="CC24" s="32">
        <v>0.6422385331802134</v>
      </c>
      <c r="CD24" s="32">
        <v>0.6394956467566143</v>
      </c>
      <c r="CE24" s="32">
        <v>0.63672940593143856</v>
      </c>
      <c r="CF24" s="32">
        <v>0.63393960855173759</v>
      </c>
      <c r="CG24" s="32">
        <v>0.63112605071053074</v>
      </c>
      <c r="CH24" s="32">
        <v>0.62828852673158064</v>
      </c>
      <c r="CI24" s="32">
        <v>0.6254268291540368</v>
      </c>
      <c r="CJ24" s="32">
        <v>0.62254074871694498</v>
      </c>
      <c r="CK24" s="32">
        <v>0.61963007434362305</v>
      </c>
      <c r="CL24" s="32">
        <v>0.61669459312590136</v>
      </c>
      <c r="CM24" s="32">
        <v>0.61373409030822401</v>
      </c>
      <c r="CN24" s="32">
        <v>0.61074834927161603</v>
      </c>
      <c r="CO24" s="32">
        <v>0.60773715151750796</v>
      </c>
      <c r="CP24" s="32">
        <v>0.60470027665142168</v>
      </c>
      <c r="CQ24" s="32">
        <v>0.60163750236651425</v>
      </c>
      <c r="CR24" s="32">
        <v>0.59854860442697932</v>
      </c>
      <c r="CS24" s="32">
        <v>0.59543335665130326</v>
      </c>
      <c r="CT24" s="32">
        <v>0.59229153089537701</v>
      </c>
      <c r="CU24" s="32">
        <v>0.58912289703546206</v>
      </c>
      <c r="CV24" s="32">
        <v>0.58592722295100608</v>
      </c>
      <c r="CW24" s="32">
        <v>0.58270427450731199</v>
      </c>
      <c r="CX24" s="32">
        <v>0.57945381553805519</v>
      </c>
      <c r="CY24" s="32">
        <v>0.57617560782764909</v>
      </c>
      <c r="CZ24" s="32">
        <v>0.57286941109345801</v>
      </c>
      <c r="DA24" s="32">
        <v>0.56953498296785621</v>
      </c>
      <c r="DB24" s="32">
        <v>0.56617207898012911</v>
      </c>
    </row>
    <row r="26" spans="1:106" x14ac:dyDescent="0.45">
      <c r="A26" t="s">
        <v>236</v>
      </c>
      <c r="B26">
        <f>Assumptions!B28</f>
        <v>2.65</v>
      </c>
      <c r="G26" s="64">
        <f>G4*$B$26/10^5</f>
        <v>1264.03421925</v>
      </c>
      <c r="H26" s="64">
        <f t="shared" ref="H26:BS26" si="0">H4*$B$26/10^5</f>
        <v>1262.4512052250625</v>
      </c>
      <c r="I26" s="64">
        <f t="shared" si="0"/>
        <v>1260.8701736887037</v>
      </c>
      <c r="J26" s="64">
        <f t="shared" si="0"/>
        <v>1259.2911221581533</v>
      </c>
      <c r="K26" s="64">
        <f t="shared" si="0"/>
        <v>1257.7140481537499</v>
      </c>
      <c r="L26" s="64">
        <f t="shared" si="0"/>
        <v>1256.1389491989373</v>
      </c>
      <c r="M26" s="64">
        <f t="shared" si="0"/>
        <v>1254.5658228202603</v>
      </c>
      <c r="N26" s="64">
        <f t="shared" si="0"/>
        <v>1252.9946665473624</v>
      </c>
      <c r="O26" s="64">
        <f t="shared" si="0"/>
        <v>1251.4254779129813</v>
      </c>
      <c r="P26" s="64">
        <f t="shared" si="0"/>
        <v>1249.8582544529422</v>
      </c>
      <c r="Q26" s="64">
        <f t="shared" si="0"/>
        <v>1248.2929937061588</v>
      </c>
      <c r="R26" s="64">
        <f t="shared" si="0"/>
        <v>1246.729693214626</v>
      </c>
      <c r="S26" s="64">
        <f t="shared" si="0"/>
        <v>1245.1683505234162</v>
      </c>
      <c r="T26" s="64">
        <f t="shared" si="0"/>
        <v>1243.6089631806778</v>
      </c>
      <c r="U26" s="64">
        <f t="shared" si="0"/>
        <v>1242.0515287376284</v>
      </c>
      <c r="V26" s="64">
        <f t="shared" si="0"/>
        <v>1240.4960447485528</v>
      </c>
      <c r="W26" s="64">
        <f t="shared" si="0"/>
        <v>1238.9425087707993</v>
      </c>
      <c r="X26" s="64">
        <f t="shared" si="0"/>
        <v>1237.3909183647745</v>
      </c>
      <c r="Y26" s="64">
        <f t="shared" si="0"/>
        <v>1235.8412710939401</v>
      </c>
      <c r="Z26" s="64">
        <f t="shared" si="0"/>
        <v>1234.2935645248101</v>
      </c>
      <c r="AA26" s="64">
        <f t="shared" si="0"/>
        <v>1232.7477962269452</v>
      </c>
      <c r="AB26" s="64">
        <f t="shared" si="0"/>
        <v>1231.2039637729504</v>
      </c>
      <c r="AC26" s="64">
        <f t="shared" si="0"/>
        <v>1229.6620647384705</v>
      </c>
      <c r="AD26" s="64">
        <f t="shared" si="0"/>
        <v>1228.1220967021859</v>
      </c>
      <c r="AE26" s="64">
        <f t="shared" si="0"/>
        <v>1226.5840572458105</v>
      </c>
      <c r="AF26" s="64">
        <f t="shared" si="0"/>
        <v>1225.0479439540857</v>
      </c>
      <c r="AG26" s="64">
        <f t="shared" si="0"/>
        <v>1223.5137544147781</v>
      </c>
      <c r="AH26" s="64">
        <f t="shared" si="0"/>
        <v>1221.9814862186752</v>
      </c>
      <c r="AI26" s="64">
        <f t="shared" si="0"/>
        <v>1220.4511369595814</v>
      </c>
      <c r="AJ26" s="64">
        <f t="shared" si="0"/>
        <v>1218.9227042343152</v>
      </c>
      <c r="AK26" s="64">
        <f t="shared" si="0"/>
        <v>1217.396185642704</v>
      </c>
      <c r="AL26" s="64">
        <f t="shared" si="0"/>
        <v>1215.8715787875817</v>
      </c>
      <c r="AM26" s="64">
        <f t="shared" si="0"/>
        <v>1214.3488812747833</v>
      </c>
      <c r="AN26" s="64">
        <f t="shared" si="0"/>
        <v>1212.8280907131436</v>
      </c>
      <c r="AO26" s="64">
        <f t="shared" si="0"/>
        <v>1211.3092047144905</v>
      </c>
      <c r="AP26" s="64">
        <f t="shared" si="0"/>
        <v>1209.7922208936436</v>
      </c>
      <c r="AQ26" s="64">
        <f t="shared" si="0"/>
        <v>1208.2771368684096</v>
      </c>
      <c r="AR26" s="64">
        <f t="shared" si="0"/>
        <v>1206.763950259578</v>
      </c>
      <c r="AS26" s="64">
        <f t="shared" si="0"/>
        <v>1205.252658690918</v>
      </c>
      <c r="AT26" s="64">
        <f t="shared" si="0"/>
        <v>1203.7432597891755</v>
      </c>
      <c r="AU26" s="64">
        <f t="shared" si="0"/>
        <v>1202.2357511840673</v>
      </c>
      <c r="AV26" s="64">
        <f t="shared" si="0"/>
        <v>1200.7301305082804</v>
      </c>
      <c r="AW26" s="64">
        <f t="shared" si="0"/>
        <v>1199.2263953974636</v>
      </c>
      <c r="AX26" s="64">
        <f t="shared" si="0"/>
        <v>1197.7245434902297</v>
      </c>
      <c r="AY26" s="64">
        <f t="shared" si="0"/>
        <v>1196.2245724281472</v>
      </c>
      <c r="AZ26" s="64">
        <f t="shared" si="0"/>
        <v>1194.7264798557385</v>
      </c>
      <c r="BA26" s="64">
        <f t="shared" si="0"/>
        <v>1193.2302634204761</v>
      </c>
      <c r="BB26" s="64">
        <f t="shared" si="0"/>
        <v>1191.7359207727786</v>
      </c>
      <c r="BC26" s="64">
        <f t="shared" si="0"/>
        <v>1190.2434495660066</v>
      </c>
      <c r="BD26" s="64">
        <f t="shared" si="0"/>
        <v>1188.7528474564599</v>
      </c>
      <c r="BE26" s="64">
        <f t="shared" si="0"/>
        <v>1187.2641121033735</v>
      </c>
      <c r="BF26" s="64">
        <f t="shared" si="0"/>
        <v>1185.7772411689148</v>
      </c>
      <c r="BG26" s="64">
        <f t="shared" si="0"/>
        <v>1184.2922323181765</v>
      </c>
      <c r="BH26" s="64">
        <f t="shared" si="0"/>
        <v>1182.8090832191776</v>
      </c>
      <c r="BI26" s="64">
        <f t="shared" si="0"/>
        <v>1181.3277915428571</v>
      </c>
      <c r="BJ26" s="64">
        <f t="shared" si="0"/>
        <v>1179.8483549630698</v>
      </c>
      <c r="BK26" s="64">
        <f t="shared" si="0"/>
        <v>1178.3707711565858</v>
      </c>
      <c r="BL26" s="64">
        <f t="shared" si="0"/>
        <v>1176.8950378030816</v>
      </c>
      <c r="BM26" s="64">
        <f t="shared" si="0"/>
        <v>1175.4211525851426</v>
      </c>
      <c r="BN26" s="64">
        <f t="shared" si="0"/>
        <v>1173.9491131882544</v>
      </c>
      <c r="BO26" s="64">
        <f t="shared" si="0"/>
        <v>1172.4789173008023</v>
      </c>
      <c r="BP26" s="64">
        <f t="shared" si="0"/>
        <v>1171.0105626140662</v>
      </c>
      <c r="BQ26" s="64">
        <f t="shared" si="0"/>
        <v>1169.5440468222171</v>
      </c>
      <c r="BR26" s="64">
        <f t="shared" si="0"/>
        <v>1168.0793676223134</v>
      </c>
      <c r="BS26" s="64">
        <f t="shared" si="0"/>
        <v>1166.6165227142988</v>
      </c>
      <c r="BT26" s="64">
        <f t="shared" ref="BT26:DB26" si="1">BT4*$B$26/10^5</f>
        <v>1165.1555098009962</v>
      </c>
      <c r="BU26" s="64">
        <f t="shared" si="1"/>
        <v>1163.6963265881056</v>
      </c>
      <c r="BV26" s="64">
        <f t="shared" si="1"/>
        <v>1162.2389707842017</v>
      </c>
      <c r="BW26" s="64">
        <f t="shared" si="1"/>
        <v>1160.7834401007271</v>
      </c>
      <c r="BX26" s="64">
        <f t="shared" si="1"/>
        <v>1159.3297322519909</v>
      </c>
      <c r="BY26" s="64">
        <f t="shared" si="1"/>
        <v>1157.8778449551653</v>
      </c>
      <c r="BZ26" s="64">
        <f t="shared" si="1"/>
        <v>1156.4277759302809</v>
      </c>
      <c r="CA26" s="64">
        <f t="shared" si="1"/>
        <v>1154.9795229002232</v>
      </c>
      <c r="CB26" s="64">
        <f t="shared" si="1"/>
        <v>1153.5330835907307</v>
      </c>
      <c r="CC26" s="64">
        <f t="shared" si="1"/>
        <v>1152.0884557303896</v>
      </c>
      <c r="CD26" s="64">
        <f t="shared" si="1"/>
        <v>1150.6456370506291</v>
      </c>
      <c r="CE26" s="64">
        <f t="shared" si="1"/>
        <v>1149.2046252857224</v>
      </c>
      <c r="CF26" s="64">
        <f t="shared" si="1"/>
        <v>1147.7654181727773</v>
      </c>
      <c r="CG26" s="64">
        <f t="shared" si="1"/>
        <v>1146.3280134517372</v>
      </c>
      <c r="CH26" s="64">
        <f t="shared" si="1"/>
        <v>1144.8924088653762</v>
      </c>
      <c r="CI26" s="64">
        <f t="shared" si="1"/>
        <v>1143.4586021592938</v>
      </c>
      <c r="CJ26" s="64">
        <f t="shared" si="1"/>
        <v>1142.0265910819135</v>
      </c>
      <c r="CK26" s="64">
        <f t="shared" si="1"/>
        <v>1140.5963733844783</v>
      </c>
      <c r="CL26" s="64">
        <f t="shared" si="1"/>
        <v>1139.1679468210491</v>
      </c>
      <c r="CM26" s="64">
        <f t="shared" si="1"/>
        <v>1137.7413091484975</v>
      </c>
      <c r="CN26" s="64">
        <f t="shared" si="1"/>
        <v>1136.3164581265041</v>
      </c>
      <c r="CO26" s="64">
        <f t="shared" si="1"/>
        <v>1134.8933915175564</v>
      </c>
      <c r="CP26" s="64">
        <f t="shared" si="1"/>
        <v>1133.4721070869439</v>
      </c>
      <c r="CQ26" s="64">
        <f t="shared" si="1"/>
        <v>1132.0526026027546</v>
      </c>
      <c r="CR26" s="64">
        <f t="shared" si="1"/>
        <v>1130.6348758358713</v>
      </c>
      <c r="CS26" s="64">
        <f t="shared" si="1"/>
        <v>1129.2189245599686</v>
      </c>
      <c r="CT26" s="64">
        <f t="shared" si="1"/>
        <v>1127.8047465515092</v>
      </c>
      <c r="CU26" s="64">
        <f t="shared" si="1"/>
        <v>1126.3923395897409</v>
      </c>
      <c r="CV26" s="64">
        <f t="shared" si="1"/>
        <v>1124.981701456692</v>
      </c>
      <c r="CW26" s="64">
        <f t="shared" si="1"/>
        <v>1123.5728299371688</v>
      </c>
      <c r="CX26" s="64">
        <f t="shared" si="1"/>
        <v>1122.1657228187519</v>
      </c>
      <c r="CY26" s="64">
        <f t="shared" si="1"/>
        <v>1120.7603778917919</v>
      </c>
      <c r="CZ26" s="64">
        <f t="shared" si="1"/>
        <v>1119.3567929494084</v>
      </c>
      <c r="DA26" s="64">
        <f t="shared" si="1"/>
        <v>1117.9549657874827</v>
      </c>
      <c r="DB26" s="64">
        <f t="shared" si="1"/>
        <v>1116.554894204658</v>
      </c>
    </row>
    <row r="27" spans="1:106" x14ac:dyDescent="0.45">
      <c r="A27" t="s">
        <v>306</v>
      </c>
      <c r="G27" s="66">
        <f>G11</f>
        <v>262.25</v>
      </c>
      <c r="H27" s="66">
        <f t="shared" ref="H27:BS27" si="2">H11</f>
        <v>263.77791678621298</v>
      </c>
      <c r="I27" s="66">
        <f t="shared" si="2"/>
        <v>265.31716624089972</v>
      </c>
      <c r="J27" s="66">
        <f t="shared" si="2"/>
        <v>266.86783241927571</v>
      </c>
      <c r="K27" s="66">
        <f t="shared" si="2"/>
        <v>268.42999999999989</v>
      </c>
      <c r="L27" s="66">
        <f t="shared" si="2"/>
        <v>270.00375428979942</v>
      </c>
      <c r="M27" s="66">
        <f t="shared" si="2"/>
        <v>271.58918122812668</v>
      </c>
      <c r="N27" s="66">
        <f t="shared" si="2"/>
        <v>273.18636739185399</v>
      </c>
      <c r="O27" s="66">
        <f t="shared" si="2"/>
        <v>274.79539999999997</v>
      </c>
      <c r="P27" s="66">
        <f t="shared" si="2"/>
        <v>276.4163669184934</v>
      </c>
      <c r="Q27" s="66">
        <f t="shared" si="2"/>
        <v>278.04935666497062</v>
      </c>
      <c r="R27" s="66">
        <f t="shared" si="2"/>
        <v>279.6944584136096</v>
      </c>
      <c r="S27" s="66">
        <f t="shared" si="2"/>
        <v>281.35176200000001</v>
      </c>
      <c r="T27" s="66">
        <f t="shared" si="2"/>
        <v>283.02135792604821</v>
      </c>
      <c r="U27" s="66">
        <f t="shared" si="2"/>
        <v>284.70333736491972</v>
      </c>
      <c r="V27" s="66">
        <f t="shared" si="2"/>
        <v>286.39779216601789</v>
      </c>
      <c r="W27" s="66">
        <f t="shared" si="2"/>
        <v>288.10481485999998</v>
      </c>
      <c r="X27" s="66">
        <f t="shared" si="2"/>
        <v>289.82449866382967</v>
      </c>
      <c r="Y27" s="66">
        <f t="shared" si="2"/>
        <v>291.55693748586731</v>
      </c>
      <c r="Z27" s="66">
        <f t="shared" si="2"/>
        <v>293.30222593099847</v>
      </c>
      <c r="AA27" s="66">
        <f t="shared" si="2"/>
        <v>295.06045930580001</v>
      </c>
      <c r="AB27" s="66">
        <f t="shared" si="2"/>
        <v>296.83173362374453</v>
      </c>
      <c r="AC27" s="66">
        <f t="shared" si="2"/>
        <v>298.61614561044331</v>
      </c>
      <c r="AD27" s="66">
        <f t="shared" si="2"/>
        <v>300.41379270892838</v>
      </c>
      <c r="AE27" s="66">
        <f t="shared" si="2"/>
        <v>302.224773084974</v>
      </c>
      <c r="AF27" s="66">
        <f t="shared" si="2"/>
        <v>304.0491856324569</v>
      </c>
      <c r="AG27" s="66">
        <f t="shared" si="2"/>
        <v>305.88712997875649</v>
      </c>
      <c r="AH27" s="66">
        <f t="shared" si="2"/>
        <v>307.73870649019631</v>
      </c>
      <c r="AI27" s="66">
        <f t="shared" si="2"/>
        <v>309.60401627752327</v>
      </c>
      <c r="AJ27" s="66">
        <f t="shared" si="2"/>
        <v>311.48316120143062</v>
      </c>
      <c r="AK27" s="66">
        <f t="shared" si="2"/>
        <v>313.37624387811928</v>
      </c>
      <c r="AL27" s="66">
        <f t="shared" si="2"/>
        <v>315.28336768490209</v>
      </c>
      <c r="AM27" s="66">
        <f t="shared" si="2"/>
        <v>317.20463676584899</v>
      </c>
      <c r="AN27" s="66">
        <f t="shared" si="2"/>
        <v>319.1401560374735</v>
      </c>
      <c r="AO27" s="66">
        <f t="shared" si="2"/>
        <v>321.09003119446288</v>
      </c>
      <c r="AP27" s="66">
        <f t="shared" si="2"/>
        <v>323.05436871544919</v>
      </c>
      <c r="AQ27" s="66">
        <f t="shared" si="2"/>
        <v>325.03327586882438</v>
      </c>
      <c r="AR27" s="66">
        <f t="shared" si="2"/>
        <v>327.02686071859767</v>
      </c>
      <c r="AS27" s="66">
        <f t="shared" si="2"/>
        <v>329.03523213029678</v>
      </c>
      <c r="AT27" s="66">
        <f t="shared" si="2"/>
        <v>331.05849977691281</v>
      </c>
      <c r="AU27" s="66">
        <f t="shared" si="2"/>
        <v>333.0967741448892</v>
      </c>
      <c r="AV27" s="66">
        <f t="shared" si="2"/>
        <v>335.15016654015568</v>
      </c>
      <c r="AW27" s="66">
        <f t="shared" si="2"/>
        <v>337.2187890942057</v>
      </c>
      <c r="AX27" s="66">
        <f t="shared" si="2"/>
        <v>339.30275477022008</v>
      </c>
      <c r="AY27" s="66">
        <f t="shared" si="2"/>
        <v>341.40217736923591</v>
      </c>
      <c r="AZ27" s="66">
        <f t="shared" si="2"/>
        <v>343.51717153636042</v>
      </c>
      <c r="BA27" s="66">
        <f t="shared" si="2"/>
        <v>345.64785276703179</v>
      </c>
      <c r="BB27" s="66">
        <f t="shared" si="2"/>
        <v>347.79433741332667</v>
      </c>
      <c r="BC27" s="66">
        <f t="shared" si="2"/>
        <v>349.95674269031298</v>
      </c>
      <c r="BD27" s="66">
        <f t="shared" si="2"/>
        <v>352.13518668245109</v>
      </c>
      <c r="BE27" s="66">
        <f t="shared" si="2"/>
        <v>354.3297883500428</v>
      </c>
      <c r="BF27" s="66">
        <f t="shared" si="2"/>
        <v>356.54066753572653</v>
      </c>
      <c r="BG27" s="66">
        <f t="shared" si="2"/>
        <v>358.76794497102242</v>
      </c>
      <c r="BH27" s="66">
        <f t="shared" si="2"/>
        <v>361.01174228292467</v>
      </c>
      <c r="BI27" s="66">
        <f t="shared" si="2"/>
        <v>363.27218200054409</v>
      </c>
      <c r="BJ27" s="66">
        <f t="shared" si="2"/>
        <v>365.54938756179831</v>
      </c>
      <c r="BK27" s="66">
        <f t="shared" si="2"/>
        <v>367.84348332015298</v>
      </c>
      <c r="BL27" s="66">
        <f t="shared" si="2"/>
        <v>370.15459455141252</v>
      </c>
      <c r="BM27" s="66">
        <f t="shared" si="2"/>
        <v>372.48284746056038</v>
      </c>
      <c r="BN27" s="66">
        <f t="shared" si="2"/>
        <v>374.82836918865229</v>
      </c>
      <c r="BO27" s="66">
        <f t="shared" si="2"/>
        <v>377.19128781975758</v>
      </c>
      <c r="BP27" s="66">
        <f t="shared" si="2"/>
        <v>379.57173238795491</v>
      </c>
      <c r="BQ27" s="66">
        <f t="shared" si="2"/>
        <v>381.96983288437718</v>
      </c>
      <c r="BR27" s="66">
        <f t="shared" si="2"/>
        <v>384.38572026431189</v>
      </c>
      <c r="BS27" s="66">
        <f t="shared" si="2"/>
        <v>386.81952645435041</v>
      </c>
      <c r="BT27" s="66">
        <f t="shared" ref="BT27:DB27" si="3">BT11</f>
        <v>389.27138435959353</v>
      </c>
      <c r="BU27" s="66">
        <f t="shared" si="3"/>
        <v>391.74142787090858</v>
      </c>
      <c r="BV27" s="66">
        <f t="shared" si="3"/>
        <v>394.22979187224121</v>
      </c>
      <c r="BW27" s="66">
        <f t="shared" si="3"/>
        <v>396.73661224798087</v>
      </c>
      <c r="BX27" s="66">
        <f t="shared" si="3"/>
        <v>399.26202589038132</v>
      </c>
      <c r="BY27" s="66">
        <f t="shared" si="3"/>
        <v>401.80617070703579</v>
      </c>
      <c r="BZ27" s="66">
        <f t="shared" si="3"/>
        <v>404.3691856284085</v>
      </c>
      <c r="CA27" s="66">
        <f t="shared" si="3"/>
        <v>406.95121061542028</v>
      </c>
      <c r="CB27" s="66">
        <f t="shared" si="3"/>
        <v>409.55238666709278</v>
      </c>
      <c r="CC27" s="66">
        <f t="shared" si="3"/>
        <v>412.1728558282469</v>
      </c>
      <c r="CD27" s="66">
        <f t="shared" si="3"/>
        <v>414.81276119726073</v>
      </c>
      <c r="CE27" s="66">
        <f t="shared" si="3"/>
        <v>417.47224693388301</v>
      </c>
      <c r="CF27" s="66">
        <f t="shared" si="3"/>
        <v>420.15145826710551</v>
      </c>
      <c r="CG27" s="66">
        <f t="shared" si="3"/>
        <v>422.85054150309429</v>
      </c>
      <c r="CH27" s="66">
        <f t="shared" si="3"/>
        <v>425.56964403317858</v>
      </c>
      <c r="CI27" s="66">
        <f t="shared" si="3"/>
        <v>428.30891434189942</v>
      </c>
      <c r="CJ27" s="66">
        <f t="shared" si="3"/>
        <v>431.06850201511872</v>
      </c>
      <c r="CK27" s="66">
        <f t="shared" si="3"/>
        <v>433.8485577481872</v>
      </c>
      <c r="CL27" s="66">
        <f t="shared" si="3"/>
        <v>436.64923335417399</v>
      </c>
      <c r="CM27" s="66">
        <f t="shared" si="3"/>
        <v>439.47068177215652</v>
      </c>
      <c r="CN27" s="66">
        <f t="shared" si="3"/>
        <v>442.31305707557232</v>
      </c>
      <c r="CO27" s="66">
        <f t="shared" si="3"/>
        <v>445.17651448063282</v>
      </c>
      <c r="CP27" s="66">
        <f t="shared" si="3"/>
        <v>448.06121035479919</v>
      </c>
      <c r="CQ27" s="66">
        <f t="shared" si="3"/>
        <v>450.96730222532108</v>
      </c>
      <c r="CR27" s="66">
        <f t="shared" si="3"/>
        <v>453.8949487878395</v>
      </c>
      <c r="CS27" s="66">
        <f t="shared" si="3"/>
        <v>456.84430991505178</v>
      </c>
      <c r="CT27" s="66">
        <f t="shared" si="3"/>
        <v>459.81554666544321</v>
      </c>
      <c r="CU27" s="66">
        <f t="shared" si="3"/>
        <v>462.80882129208078</v>
      </c>
      <c r="CV27" s="66">
        <f t="shared" si="3"/>
        <v>465.82429725147472</v>
      </c>
      <c r="CW27" s="66">
        <f t="shared" si="3"/>
        <v>468.86213921250339</v>
      </c>
      <c r="CX27" s="66">
        <f t="shared" si="3"/>
        <v>471.92251306540641</v>
      </c>
      <c r="CY27" s="66">
        <f t="shared" si="3"/>
        <v>475.00558593084321</v>
      </c>
      <c r="CZ27" s="66">
        <f t="shared" si="3"/>
        <v>478.11152616901887</v>
      </c>
      <c r="DA27" s="66">
        <f t="shared" si="3"/>
        <v>481.24050338887849</v>
      </c>
      <c r="DB27" s="66">
        <f t="shared" si="3"/>
        <v>484.39268845736871</v>
      </c>
    </row>
    <row r="29" spans="1:106" x14ac:dyDescent="0.45">
      <c r="A29" t="s">
        <v>183</v>
      </c>
      <c r="G29" s="64">
        <f>G26-G27</f>
        <v>1001.78421925</v>
      </c>
      <c r="H29" s="64">
        <f t="shared" ref="H29:BS29" si="4">H26-H27</f>
        <v>998.67328843884957</v>
      </c>
      <c r="I29" s="64">
        <f t="shared" si="4"/>
        <v>995.55300744780402</v>
      </c>
      <c r="J29" s="64">
        <f t="shared" si="4"/>
        <v>992.42328973887754</v>
      </c>
      <c r="K29" s="64">
        <f t="shared" si="4"/>
        <v>989.28404815375006</v>
      </c>
      <c r="L29" s="64">
        <f t="shared" si="4"/>
        <v>986.13519490913791</v>
      </c>
      <c r="M29" s="64">
        <f t="shared" si="4"/>
        <v>982.97664159213366</v>
      </c>
      <c r="N29" s="64">
        <f t="shared" si="4"/>
        <v>979.80829915550839</v>
      </c>
      <c r="O29" s="64">
        <f t="shared" si="4"/>
        <v>976.63007791298128</v>
      </c>
      <c r="P29" s="64">
        <f t="shared" si="4"/>
        <v>973.44188753444882</v>
      </c>
      <c r="Q29" s="64">
        <f t="shared" si="4"/>
        <v>970.24363704118809</v>
      </c>
      <c r="R29" s="64">
        <f t="shared" si="4"/>
        <v>967.03523480101637</v>
      </c>
      <c r="S29" s="64">
        <f t="shared" si="4"/>
        <v>963.81658852341616</v>
      </c>
      <c r="T29" s="64">
        <f t="shared" si="4"/>
        <v>960.58760525462958</v>
      </c>
      <c r="U29" s="64">
        <f t="shared" si="4"/>
        <v>957.3481913727087</v>
      </c>
      <c r="V29" s="64">
        <f t="shared" si="4"/>
        <v>954.09825258253488</v>
      </c>
      <c r="W29" s="64">
        <f t="shared" si="4"/>
        <v>950.83769391079932</v>
      </c>
      <c r="X29" s="64">
        <f t="shared" si="4"/>
        <v>947.56641970094483</v>
      </c>
      <c r="Y29" s="64">
        <f t="shared" si="4"/>
        <v>944.28433360807276</v>
      </c>
      <c r="Z29" s="64">
        <f t="shared" si="4"/>
        <v>940.99133859381163</v>
      </c>
      <c r="AA29" s="64">
        <f t="shared" si="4"/>
        <v>937.68733692114517</v>
      </c>
      <c r="AB29" s="64">
        <f t="shared" si="4"/>
        <v>934.37223014920585</v>
      </c>
      <c r="AC29" s="64">
        <f t="shared" si="4"/>
        <v>931.04591912802721</v>
      </c>
      <c r="AD29" s="64">
        <f t="shared" si="4"/>
        <v>927.70830399325746</v>
      </c>
      <c r="AE29" s="64">
        <f t="shared" si="4"/>
        <v>924.35928416083652</v>
      </c>
      <c r="AF29" s="64">
        <f t="shared" si="4"/>
        <v>920.99875832162877</v>
      </c>
      <c r="AG29" s="64">
        <f t="shared" si="4"/>
        <v>917.62662443602153</v>
      </c>
      <c r="AH29" s="64">
        <f t="shared" si="4"/>
        <v>914.24277972847881</v>
      </c>
      <c r="AI29" s="64">
        <f t="shared" si="4"/>
        <v>910.84712068205818</v>
      </c>
      <c r="AJ29" s="64">
        <f t="shared" si="4"/>
        <v>907.43954303288456</v>
      </c>
      <c r="AK29" s="64">
        <f t="shared" si="4"/>
        <v>904.0199417645847</v>
      </c>
      <c r="AL29" s="64">
        <f t="shared" si="4"/>
        <v>900.58821110267968</v>
      </c>
      <c r="AM29" s="64">
        <f t="shared" si="4"/>
        <v>897.14424450893421</v>
      </c>
      <c r="AN29" s="64">
        <f t="shared" si="4"/>
        <v>893.68793467567014</v>
      </c>
      <c r="AO29" s="64">
        <f t="shared" si="4"/>
        <v>890.21917352002765</v>
      </c>
      <c r="AP29" s="64">
        <f t="shared" si="4"/>
        <v>886.73785217819443</v>
      </c>
      <c r="AQ29" s="64">
        <f t="shared" si="4"/>
        <v>883.24386099958519</v>
      </c>
      <c r="AR29" s="64">
        <f t="shared" si="4"/>
        <v>879.73708954098038</v>
      </c>
      <c r="AS29" s="64">
        <f t="shared" si="4"/>
        <v>876.21742656062122</v>
      </c>
      <c r="AT29" s="64">
        <f t="shared" si="4"/>
        <v>872.68476001226259</v>
      </c>
      <c r="AU29" s="64">
        <f t="shared" si="4"/>
        <v>869.13897703917814</v>
      </c>
      <c r="AV29" s="64">
        <f t="shared" si="4"/>
        <v>865.57996396812473</v>
      </c>
      <c r="AW29" s="64">
        <f t="shared" si="4"/>
        <v>862.00760630325794</v>
      </c>
      <c r="AX29" s="64">
        <f t="shared" si="4"/>
        <v>858.42178872000966</v>
      </c>
      <c r="AY29" s="64">
        <f t="shared" si="4"/>
        <v>854.8223950589113</v>
      </c>
      <c r="AZ29" s="64">
        <f t="shared" si="4"/>
        <v>851.20930831937812</v>
      </c>
      <c r="BA29" s="64">
        <f t="shared" si="4"/>
        <v>847.58241065344441</v>
      </c>
      <c r="BB29" s="64">
        <f t="shared" si="4"/>
        <v>843.9415833594519</v>
      </c>
      <c r="BC29" s="64">
        <f t="shared" si="4"/>
        <v>840.28670687569365</v>
      </c>
      <c r="BD29" s="64">
        <f t="shared" si="4"/>
        <v>836.61766077400875</v>
      </c>
      <c r="BE29" s="64">
        <f t="shared" si="4"/>
        <v>832.93432375333066</v>
      </c>
      <c r="BF29" s="64">
        <f t="shared" si="4"/>
        <v>829.2365736331883</v>
      </c>
      <c r="BG29" s="64">
        <f t="shared" si="4"/>
        <v>825.52428734715409</v>
      </c>
      <c r="BH29" s="64">
        <f t="shared" si="4"/>
        <v>821.79734093625302</v>
      </c>
      <c r="BI29" s="64">
        <f t="shared" si="4"/>
        <v>818.05560954231305</v>
      </c>
      <c r="BJ29" s="64">
        <f t="shared" si="4"/>
        <v>814.29896740127151</v>
      </c>
      <c r="BK29" s="64">
        <f t="shared" si="4"/>
        <v>810.52728783643283</v>
      </c>
      <c r="BL29" s="64">
        <f t="shared" si="4"/>
        <v>806.74044325166903</v>
      </c>
      <c r="BM29" s="64">
        <f t="shared" si="4"/>
        <v>802.93830512458226</v>
      </c>
      <c r="BN29" s="64">
        <f t="shared" si="4"/>
        <v>799.12074399960215</v>
      </c>
      <c r="BO29" s="64">
        <f t="shared" si="4"/>
        <v>795.28762948104475</v>
      </c>
      <c r="BP29" s="64">
        <f t="shared" si="4"/>
        <v>791.43883022611135</v>
      </c>
      <c r="BQ29" s="64">
        <f t="shared" si="4"/>
        <v>787.57421393783989</v>
      </c>
      <c r="BR29" s="64">
        <f t="shared" si="4"/>
        <v>783.6936473580015</v>
      </c>
      <c r="BS29" s="64">
        <f t="shared" si="4"/>
        <v>779.7969962599484</v>
      </c>
      <c r="BT29" s="64">
        <f t="shared" ref="BT29:DB29" si="5">BT26-BT27</f>
        <v>775.88412544140272</v>
      </c>
      <c r="BU29" s="64">
        <f t="shared" si="5"/>
        <v>771.95489871719701</v>
      </c>
      <c r="BV29" s="64">
        <f t="shared" si="5"/>
        <v>768.00917891196048</v>
      </c>
      <c r="BW29" s="64">
        <f t="shared" si="5"/>
        <v>764.04682785274622</v>
      </c>
      <c r="BX29" s="64">
        <f t="shared" si="5"/>
        <v>760.06770636160957</v>
      </c>
      <c r="BY29" s="64">
        <f t="shared" si="5"/>
        <v>756.07167424812951</v>
      </c>
      <c r="BZ29" s="64">
        <f t="shared" si="5"/>
        <v>752.0585903018723</v>
      </c>
      <c r="CA29" s="64">
        <f t="shared" si="5"/>
        <v>748.02831228480295</v>
      </c>
      <c r="CB29" s="64">
        <f t="shared" si="5"/>
        <v>743.98069692363788</v>
      </c>
      <c r="CC29" s="64">
        <f t="shared" si="5"/>
        <v>739.91559990214273</v>
      </c>
      <c r="CD29" s="64">
        <f t="shared" si="5"/>
        <v>735.83287585336848</v>
      </c>
      <c r="CE29" s="64">
        <f t="shared" si="5"/>
        <v>731.73237835183932</v>
      </c>
      <c r="CF29" s="64">
        <f t="shared" si="5"/>
        <v>727.61395990567189</v>
      </c>
      <c r="CG29" s="64">
        <f t="shared" si="5"/>
        <v>723.47747194864291</v>
      </c>
      <c r="CH29" s="64">
        <f t="shared" si="5"/>
        <v>719.32276483219766</v>
      </c>
      <c r="CI29" s="64">
        <f t="shared" si="5"/>
        <v>715.14968781739435</v>
      </c>
      <c r="CJ29" s="64">
        <f t="shared" si="5"/>
        <v>710.95808906679474</v>
      </c>
      <c r="CK29" s="64">
        <f t="shared" si="5"/>
        <v>706.74781563629108</v>
      </c>
      <c r="CL29" s="64">
        <f t="shared" si="5"/>
        <v>702.51871346687517</v>
      </c>
      <c r="CM29" s="64">
        <f t="shared" si="5"/>
        <v>698.27062737634105</v>
      </c>
      <c r="CN29" s="64">
        <f t="shared" si="5"/>
        <v>694.00340105093187</v>
      </c>
      <c r="CO29" s="64">
        <f t="shared" si="5"/>
        <v>689.71687703692362</v>
      </c>
      <c r="CP29" s="64">
        <f t="shared" si="5"/>
        <v>685.41089673214469</v>
      </c>
      <c r="CQ29" s="64">
        <f t="shared" si="5"/>
        <v>681.08530037743355</v>
      </c>
      <c r="CR29" s="64">
        <f t="shared" si="5"/>
        <v>676.73992704803186</v>
      </c>
      <c r="CS29" s="64">
        <f t="shared" si="5"/>
        <v>672.37461464491685</v>
      </c>
      <c r="CT29" s="64">
        <f t="shared" si="5"/>
        <v>667.98919988606599</v>
      </c>
      <c r="CU29" s="64">
        <f t="shared" si="5"/>
        <v>663.58351829766013</v>
      </c>
      <c r="CV29" s="64">
        <f t="shared" si="5"/>
        <v>659.15740420521729</v>
      </c>
      <c r="CW29" s="64">
        <f t="shared" si="5"/>
        <v>654.71069072466537</v>
      </c>
      <c r="CX29" s="64">
        <f t="shared" si="5"/>
        <v>650.24320975334547</v>
      </c>
      <c r="CY29" s="64">
        <f t="shared" si="5"/>
        <v>645.75479196094875</v>
      </c>
      <c r="CZ29" s="64">
        <f t="shared" si="5"/>
        <v>641.24526678038956</v>
      </c>
      <c r="DA29" s="64">
        <f t="shared" si="5"/>
        <v>636.71446239860416</v>
      </c>
      <c r="DB29" s="64">
        <f t="shared" si="5"/>
        <v>632.16220574728936</v>
      </c>
    </row>
    <row r="30" spans="1:106" x14ac:dyDescent="0.45">
      <c r="B30">
        <f>SUM('Cash Flow'!C27:F27)*95%</f>
        <v>42750</v>
      </c>
    </row>
    <row r="31" spans="1:106" x14ac:dyDescent="0.45">
      <c r="A31" t="s">
        <v>307</v>
      </c>
      <c r="B31" s="65">
        <f>Assumptions!B14</f>
        <v>0.05</v>
      </c>
      <c r="G31">
        <f>$B$30*$B$31/4</f>
        <v>534.375</v>
      </c>
      <c r="H31">
        <f t="shared" ref="H31:BS31" si="6">$B$30*$B$31/4</f>
        <v>534.375</v>
      </c>
      <c r="I31">
        <f t="shared" si="6"/>
        <v>534.375</v>
      </c>
      <c r="J31">
        <f t="shared" si="6"/>
        <v>534.375</v>
      </c>
      <c r="K31">
        <f t="shared" si="6"/>
        <v>534.375</v>
      </c>
      <c r="L31">
        <f t="shared" si="6"/>
        <v>534.375</v>
      </c>
      <c r="M31">
        <f t="shared" si="6"/>
        <v>534.375</v>
      </c>
      <c r="N31">
        <f t="shared" si="6"/>
        <v>534.375</v>
      </c>
      <c r="O31">
        <f t="shared" si="6"/>
        <v>534.375</v>
      </c>
      <c r="P31">
        <f t="shared" si="6"/>
        <v>534.375</v>
      </c>
      <c r="Q31">
        <f t="shared" si="6"/>
        <v>534.375</v>
      </c>
      <c r="R31">
        <f t="shared" si="6"/>
        <v>534.375</v>
      </c>
      <c r="S31">
        <f t="shared" si="6"/>
        <v>534.375</v>
      </c>
      <c r="T31">
        <f t="shared" si="6"/>
        <v>534.375</v>
      </c>
      <c r="U31">
        <f t="shared" si="6"/>
        <v>534.375</v>
      </c>
      <c r="V31">
        <f t="shared" si="6"/>
        <v>534.375</v>
      </c>
      <c r="W31">
        <f t="shared" si="6"/>
        <v>534.375</v>
      </c>
      <c r="X31">
        <f t="shared" si="6"/>
        <v>534.375</v>
      </c>
      <c r="Y31">
        <f t="shared" si="6"/>
        <v>534.375</v>
      </c>
      <c r="Z31">
        <f t="shared" si="6"/>
        <v>534.375</v>
      </c>
      <c r="AA31">
        <f t="shared" si="6"/>
        <v>534.375</v>
      </c>
      <c r="AB31">
        <f t="shared" si="6"/>
        <v>534.375</v>
      </c>
      <c r="AC31">
        <f t="shared" si="6"/>
        <v>534.375</v>
      </c>
      <c r="AD31">
        <f t="shared" si="6"/>
        <v>534.375</v>
      </c>
      <c r="AE31">
        <f t="shared" si="6"/>
        <v>534.375</v>
      </c>
      <c r="AF31">
        <f t="shared" si="6"/>
        <v>534.375</v>
      </c>
      <c r="AG31">
        <f t="shared" si="6"/>
        <v>534.375</v>
      </c>
      <c r="AH31">
        <f t="shared" si="6"/>
        <v>534.375</v>
      </c>
      <c r="AI31">
        <f t="shared" si="6"/>
        <v>534.375</v>
      </c>
      <c r="AJ31">
        <f t="shared" si="6"/>
        <v>534.375</v>
      </c>
      <c r="AK31">
        <f t="shared" si="6"/>
        <v>534.375</v>
      </c>
      <c r="AL31">
        <f t="shared" si="6"/>
        <v>534.375</v>
      </c>
      <c r="AM31">
        <f t="shared" si="6"/>
        <v>534.375</v>
      </c>
      <c r="AN31">
        <f t="shared" si="6"/>
        <v>534.375</v>
      </c>
      <c r="AO31">
        <f t="shared" si="6"/>
        <v>534.375</v>
      </c>
      <c r="AP31">
        <f t="shared" si="6"/>
        <v>534.375</v>
      </c>
      <c r="AQ31">
        <f t="shared" si="6"/>
        <v>534.375</v>
      </c>
      <c r="AR31">
        <f t="shared" si="6"/>
        <v>534.375</v>
      </c>
      <c r="AS31">
        <f t="shared" si="6"/>
        <v>534.375</v>
      </c>
      <c r="AT31">
        <f t="shared" si="6"/>
        <v>534.375</v>
      </c>
      <c r="AU31">
        <f t="shared" si="6"/>
        <v>534.375</v>
      </c>
      <c r="AV31">
        <f t="shared" si="6"/>
        <v>534.375</v>
      </c>
      <c r="AW31">
        <f t="shared" si="6"/>
        <v>534.375</v>
      </c>
      <c r="AX31">
        <f t="shared" si="6"/>
        <v>534.375</v>
      </c>
      <c r="AY31">
        <f t="shared" si="6"/>
        <v>534.375</v>
      </c>
      <c r="AZ31">
        <f t="shared" si="6"/>
        <v>534.375</v>
      </c>
      <c r="BA31">
        <f t="shared" si="6"/>
        <v>534.375</v>
      </c>
      <c r="BB31">
        <f t="shared" si="6"/>
        <v>534.375</v>
      </c>
      <c r="BC31">
        <f t="shared" si="6"/>
        <v>534.375</v>
      </c>
      <c r="BD31">
        <f t="shared" si="6"/>
        <v>534.375</v>
      </c>
      <c r="BE31">
        <f t="shared" si="6"/>
        <v>534.375</v>
      </c>
      <c r="BF31">
        <f t="shared" si="6"/>
        <v>534.375</v>
      </c>
      <c r="BG31">
        <f t="shared" si="6"/>
        <v>534.375</v>
      </c>
      <c r="BH31">
        <f t="shared" si="6"/>
        <v>534.375</v>
      </c>
      <c r="BI31">
        <f t="shared" si="6"/>
        <v>534.375</v>
      </c>
      <c r="BJ31">
        <f t="shared" si="6"/>
        <v>534.375</v>
      </c>
      <c r="BK31">
        <f t="shared" si="6"/>
        <v>534.375</v>
      </c>
      <c r="BL31">
        <f t="shared" si="6"/>
        <v>534.375</v>
      </c>
      <c r="BM31">
        <f t="shared" si="6"/>
        <v>534.375</v>
      </c>
      <c r="BN31">
        <f t="shared" si="6"/>
        <v>534.375</v>
      </c>
      <c r="BO31">
        <f t="shared" si="6"/>
        <v>534.375</v>
      </c>
      <c r="BP31">
        <f t="shared" si="6"/>
        <v>534.375</v>
      </c>
      <c r="BQ31">
        <f t="shared" si="6"/>
        <v>534.375</v>
      </c>
      <c r="BR31">
        <f t="shared" si="6"/>
        <v>534.375</v>
      </c>
      <c r="BS31">
        <f t="shared" si="6"/>
        <v>534.375</v>
      </c>
      <c r="BT31">
        <f t="shared" ref="BT31:DB31" si="7">$B$30*$B$31/4</f>
        <v>534.375</v>
      </c>
      <c r="BU31">
        <f t="shared" si="7"/>
        <v>534.375</v>
      </c>
      <c r="BV31">
        <f t="shared" si="7"/>
        <v>534.375</v>
      </c>
      <c r="BW31">
        <f t="shared" si="7"/>
        <v>534.375</v>
      </c>
      <c r="BX31">
        <f t="shared" si="7"/>
        <v>534.375</v>
      </c>
      <c r="BY31">
        <f t="shared" si="7"/>
        <v>534.375</v>
      </c>
      <c r="BZ31">
        <f t="shared" si="7"/>
        <v>534.375</v>
      </c>
      <c r="CA31">
        <f t="shared" si="7"/>
        <v>534.375</v>
      </c>
      <c r="CB31">
        <f t="shared" si="7"/>
        <v>534.375</v>
      </c>
      <c r="CC31">
        <f t="shared" si="7"/>
        <v>534.375</v>
      </c>
      <c r="CD31">
        <f t="shared" si="7"/>
        <v>534.375</v>
      </c>
      <c r="CE31">
        <f t="shared" si="7"/>
        <v>534.375</v>
      </c>
      <c r="CF31">
        <f t="shared" si="7"/>
        <v>534.375</v>
      </c>
      <c r="CG31">
        <f t="shared" si="7"/>
        <v>534.375</v>
      </c>
      <c r="CH31">
        <f t="shared" si="7"/>
        <v>534.375</v>
      </c>
      <c r="CI31">
        <f t="shared" si="7"/>
        <v>534.375</v>
      </c>
      <c r="CJ31">
        <f t="shared" si="7"/>
        <v>534.375</v>
      </c>
      <c r="CK31">
        <f t="shared" si="7"/>
        <v>534.375</v>
      </c>
      <c r="CL31">
        <f t="shared" si="7"/>
        <v>534.375</v>
      </c>
      <c r="CM31">
        <f t="shared" si="7"/>
        <v>534.375</v>
      </c>
      <c r="CN31">
        <f t="shared" si="7"/>
        <v>534.375</v>
      </c>
      <c r="CO31">
        <f t="shared" si="7"/>
        <v>534.375</v>
      </c>
      <c r="CP31">
        <f t="shared" si="7"/>
        <v>534.375</v>
      </c>
      <c r="CQ31">
        <f t="shared" si="7"/>
        <v>534.375</v>
      </c>
      <c r="CR31">
        <f t="shared" si="7"/>
        <v>534.375</v>
      </c>
      <c r="CS31">
        <f t="shared" si="7"/>
        <v>534.375</v>
      </c>
      <c r="CT31">
        <f t="shared" si="7"/>
        <v>534.375</v>
      </c>
      <c r="CU31">
        <f t="shared" si="7"/>
        <v>534.375</v>
      </c>
      <c r="CV31">
        <f t="shared" si="7"/>
        <v>534.375</v>
      </c>
      <c r="CW31">
        <f t="shared" si="7"/>
        <v>534.375</v>
      </c>
      <c r="CX31">
        <f t="shared" si="7"/>
        <v>534.375</v>
      </c>
      <c r="CY31">
        <f t="shared" si="7"/>
        <v>534.375</v>
      </c>
      <c r="CZ31">
        <f t="shared" si="7"/>
        <v>534.375</v>
      </c>
      <c r="DA31">
        <f t="shared" si="7"/>
        <v>534.375</v>
      </c>
      <c r="DB31">
        <f t="shared" si="7"/>
        <v>534.375</v>
      </c>
    </row>
    <row r="33" spans="1:106" x14ac:dyDescent="0.45">
      <c r="A33" t="s">
        <v>186</v>
      </c>
      <c r="G33" s="64">
        <f>G29-G31</f>
        <v>467.40921924999998</v>
      </c>
      <c r="H33" s="64">
        <f t="shared" ref="H33:BS33" si="8">H29-H31</f>
        <v>464.29828843884957</v>
      </c>
      <c r="I33" s="64">
        <f t="shared" si="8"/>
        <v>461.17800744780402</v>
      </c>
      <c r="J33" s="64">
        <f t="shared" si="8"/>
        <v>458.04828973887754</v>
      </c>
      <c r="K33" s="64">
        <f t="shared" si="8"/>
        <v>454.90904815375006</v>
      </c>
      <c r="L33" s="64">
        <f t="shared" si="8"/>
        <v>451.76019490913791</v>
      </c>
      <c r="M33" s="64">
        <f t="shared" si="8"/>
        <v>448.60164159213366</v>
      </c>
      <c r="N33" s="64">
        <f t="shared" si="8"/>
        <v>445.43329915550839</v>
      </c>
      <c r="O33" s="64">
        <f t="shared" si="8"/>
        <v>442.25507791298128</v>
      </c>
      <c r="P33" s="64">
        <f t="shared" si="8"/>
        <v>439.06688753444882</v>
      </c>
      <c r="Q33" s="64">
        <f t="shared" si="8"/>
        <v>435.86863704118809</v>
      </c>
      <c r="R33" s="64">
        <f t="shared" si="8"/>
        <v>432.66023480101637</v>
      </c>
      <c r="S33" s="64">
        <f t="shared" si="8"/>
        <v>429.44158852341616</v>
      </c>
      <c r="T33" s="64">
        <f t="shared" si="8"/>
        <v>426.21260525462958</v>
      </c>
      <c r="U33" s="64">
        <f t="shared" si="8"/>
        <v>422.9731913727087</v>
      </c>
      <c r="V33" s="64">
        <f t="shared" si="8"/>
        <v>419.72325258253488</v>
      </c>
      <c r="W33" s="64">
        <f t="shared" si="8"/>
        <v>416.46269391079932</v>
      </c>
      <c r="X33" s="64">
        <f t="shared" si="8"/>
        <v>413.19141970094483</v>
      </c>
      <c r="Y33" s="64">
        <f t="shared" si="8"/>
        <v>409.90933360807276</v>
      </c>
      <c r="Z33" s="64">
        <f t="shared" si="8"/>
        <v>406.61633859381163</v>
      </c>
      <c r="AA33" s="64">
        <f t="shared" si="8"/>
        <v>403.31233692114517</v>
      </c>
      <c r="AB33" s="64">
        <f t="shared" si="8"/>
        <v>399.99723014920585</v>
      </c>
      <c r="AC33" s="64">
        <f t="shared" si="8"/>
        <v>396.67091912802721</v>
      </c>
      <c r="AD33" s="64">
        <f t="shared" si="8"/>
        <v>393.33330399325746</v>
      </c>
      <c r="AE33" s="64">
        <f t="shared" si="8"/>
        <v>389.98428416083652</v>
      </c>
      <c r="AF33" s="64">
        <f t="shared" si="8"/>
        <v>386.62375832162877</v>
      </c>
      <c r="AG33" s="64">
        <f t="shared" si="8"/>
        <v>383.25162443602153</v>
      </c>
      <c r="AH33" s="64">
        <f t="shared" si="8"/>
        <v>379.86777972847881</v>
      </c>
      <c r="AI33" s="64">
        <f t="shared" si="8"/>
        <v>376.47212068205818</v>
      </c>
      <c r="AJ33" s="64">
        <f t="shared" si="8"/>
        <v>373.06454303288456</v>
      </c>
      <c r="AK33" s="64">
        <f t="shared" si="8"/>
        <v>369.6449417645847</v>
      </c>
      <c r="AL33" s="64">
        <f t="shared" si="8"/>
        <v>366.21321110267968</v>
      </c>
      <c r="AM33" s="64">
        <f t="shared" si="8"/>
        <v>362.76924450893421</v>
      </c>
      <c r="AN33" s="64">
        <f t="shared" si="8"/>
        <v>359.31293467567014</v>
      </c>
      <c r="AO33" s="64">
        <f t="shared" si="8"/>
        <v>355.84417352002765</v>
      </c>
      <c r="AP33" s="64">
        <f t="shared" si="8"/>
        <v>352.36285217819443</v>
      </c>
      <c r="AQ33" s="64">
        <f t="shared" si="8"/>
        <v>348.86886099958519</v>
      </c>
      <c r="AR33" s="64">
        <f t="shared" si="8"/>
        <v>345.36208954098038</v>
      </c>
      <c r="AS33" s="64">
        <f t="shared" si="8"/>
        <v>341.84242656062122</v>
      </c>
      <c r="AT33" s="64">
        <f t="shared" si="8"/>
        <v>338.30976001226259</v>
      </c>
      <c r="AU33" s="64">
        <f t="shared" si="8"/>
        <v>334.76397703917814</v>
      </c>
      <c r="AV33" s="64">
        <f t="shared" si="8"/>
        <v>331.20496396812473</v>
      </c>
      <c r="AW33" s="64">
        <f t="shared" si="8"/>
        <v>327.63260630325794</v>
      </c>
      <c r="AX33" s="64">
        <f t="shared" si="8"/>
        <v>324.04678872000966</v>
      </c>
      <c r="AY33" s="64">
        <f t="shared" si="8"/>
        <v>320.4473950589113</v>
      </c>
      <c r="AZ33" s="64">
        <f t="shared" si="8"/>
        <v>316.83430831937812</v>
      </c>
      <c r="BA33" s="64">
        <f t="shared" si="8"/>
        <v>313.20741065344441</v>
      </c>
      <c r="BB33" s="64">
        <f t="shared" si="8"/>
        <v>309.5665833594519</v>
      </c>
      <c r="BC33" s="64">
        <f t="shared" si="8"/>
        <v>305.91170687569365</v>
      </c>
      <c r="BD33" s="64">
        <f t="shared" si="8"/>
        <v>302.24266077400875</v>
      </c>
      <c r="BE33" s="64">
        <f t="shared" si="8"/>
        <v>298.55932375333066</v>
      </c>
      <c r="BF33" s="64">
        <f t="shared" si="8"/>
        <v>294.8615736331883</v>
      </c>
      <c r="BG33" s="64">
        <f t="shared" si="8"/>
        <v>291.14928734715409</v>
      </c>
      <c r="BH33" s="64">
        <f t="shared" si="8"/>
        <v>287.42234093625302</v>
      </c>
      <c r="BI33" s="64">
        <f t="shared" si="8"/>
        <v>283.68060954231305</v>
      </c>
      <c r="BJ33" s="64">
        <f t="shared" si="8"/>
        <v>279.92396740127151</v>
      </c>
      <c r="BK33" s="64">
        <f t="shared" si="8"/>
        <v>276.15228783643283</v>
      </c>
      <c r="BL33" s="64">
        <f t="shared" si="8"/>
        <v>272.36544325166903</v>
      </c>
      <c r="BM33" s="64">
        <f t="shared" si="8"/>
        <v>268.56330512458226</v>
      </c>
      <c r="BN33" s="64">
        <f t="shared" si="8"/>
        <v>264.74574399960215</v>
      </c>
      <c r="BO33" s="64">
        <f t="shared" si="8"/>
        <v>260.91262948104475</v>
      </c>
      <c r="BP33" s="64">
        <f t="shared" si="8"/>
        <v>257.06383022611135</v>
      </c>
      <c r="BQ33" s="64">
        <f t="shared" si="8"/>
        <v>253.19921393783989</v>
      </c>
      <c r="BR33" s="64">
        <f t="shared" si="8"/>
        <v>249.3186473580015</v>
      </c>
      <c r="BS33" s="64">
        <f t="shared" si="8"/>
        <v>245.4219962599484</v>
      </c>
      <c r="BT33" s="64">
        <f t="shared" ref="BT33:DB33" si="9">BT29-BT31</f>
        <v>241.50912544140272</v>
      </c>
      <c r="BU33" s="64">
        <f t="shared" si="9"/>
        <v>237.57989871719701</v>
      </c>
      <c r="BV33" s="64">
        <f t="shared" si="9"/>
        <v>233.63417891196048</v>
      </c>
      <c r="BW33" s="64">
        <f t="shared" si="9"/>
        <v>229.67182785274622</v>
      </c>
      <c r="BX33" s="64">
        <f t="shared" si="9"/>
        <v>225.69270636160957</v>
      </c>
      <c r="BY33" s="64">
        <f t="shared" si="9"/>
        <v>221.69667424812951</v>
      </c>
      <c r="BZ33" s="64">
        <f t="shared" si="9"/>
        <v>217.6835903018723</v>
      </c>
      <c r="CA33" s="64">
        <f t="shared" si="9"/>
        <v>213.65331228480295</v>
      </c>
      <c r="CB33" s="64">
        <f t="shared" si="9"/>
        <v>209.60569692363788</v>
      </c>
      <c r="CC33" s="64">
        <f t="shared" si="9"/>
        <v>205.54059990214273</v>
      </c>
      <c r="CD33" s="64">
        <f t="shared" si="9"/>
        <v>201.45787585336848</v>
      </c>
      <c r="CE33" s="64">
        <f t="shared" si="9"/>
        <v>197.35737835183932</v>
      </c>
      <c r="CF33" s="64">
        <f t="shared" si="9"/>
        <v>193.23895990567189</v>
      </c>
      <c r="CG33" s="64">
        <f t="shared" si="9"/>
        <v>189.10247194864291</v>
      </c>
      <c r="CH33" s="64">
        <f t="shared" si="9"/>
        <v>184.94776483219766</v>
      </c>
      <c r="CI33" s="64">
        <f t="shared" si="9"/>
        <v>180.77468781739435</v>
      </c>
      <c r="CJ33" s="64">
        <f t="shared" si="9"/>
        <v>176.58308906679474</v>
      </c>
      <c r="CK33" s="64">
        <f t="shared" si="9"/>
        <v>172.37281563629108</v>
      </c>
      <c r="CL33" s="64">
        <f t="shared" si="9"/>
        <v>168.14371346687517</v>
      </c>
      <c r="CM33" s="64">
        <f t="shared" si="9"/>
        <v>163.89562737634105</v>
      </c>
      <c r="CN33" s="64">
        <f t="shared" si="9"/>
        <v>159.62840105093187</v>
      </c>
      <c r="CO33" s="64">
        <f t="shared" si="9"/>
        <v>155.34187703692362</v>
      </c>
      <c r="CP33" s="64">
        <f t="shared" si="9"/>
        <v>151.03589673214469</v>
      </c>
      <c r="CQ33" s="64">
        <f t="shared" si="9"/>
        <v>146.71030037743355</v>
      </c>
      <c r="CR33" s="64">
        <f t="shared" si="9"/>
        <v>142.36492704803186</v>
      </c>
      <c r="CS33" s="64">
        <f t="shared" si="9"/>
        <v>137.99961464491685</v>
      </c>
      <c r="CT33" s="64">
        <f t="shared" si="9"/>
        <v>133.61419988606599</v>
      </c>
      <c r="CU33" s="64">
        <f t="shared" si="9"/>
        <v>129.20851829766013</v>
      </c>
      <c r="CV33" s="64">
        <f t="shared" si="9"/>
        <v>124.78240420521729</v>
      </c>
      <c r="CW33" s="64">
        <f t="shared" si="9"/>
        <v>120.33569072466537</v>
      </c>
      <c r="CX33" s="64">
        <f t="shared" si="9"/>
        <v>115.86820975334547</v>
      </c>
      <c r="CY33" s="64">
        <f t="shared" si="9"/>
        <v>111.37979196094875</v>
      </c>
      <c r="CZ33" s="64">
        <f t="shared" si="9"/>
        <v>106.87026678038956</v>
      </c>
      <c r="DA33" s="64">
        <f t="shared" si="9"/>
        <v>102.33946239860416</v>
      </c>
      <c r="DB33" s="64">
        <f t="shared" si="9"/>
        <v>97.787205747289363</v>
      </c>
    </row>
    <row r="35" spans="1:106" x14ac:dyDescent="0.45">
      <c r="A35" t="s">
        <v>308</v>
      </c>
      <c r="G35" s="64">
        <f>'Debt Schedule'!G14</f>
        <v>741.23625634479697</v>
      </c>
      <c r="H35" s="64">
        <f>'Debt Schedule'!H14</f>
        <v>730.94130834000816</v>
      </c>
      <c r="I35" s="64">
        <f>'Debt Schedule'!I14</f>
        <v>720.64636033521924</v>
      </c>
      <c r="J35" s="64">
        <f>'Debt Schedule'!J14</f>
        <v>710.35141233043043</v>
      </c>
      <c r="K35" s="64">
        <f>'Debt Schedule'!K14</f>
        <v>700.05646432564163</v>
      </c>
      <c r="L35" s="64">
        <f>'Debt Schedule'!L14</f>
        <v>689.76151632085271</v>
      </c>
      <c r="M35" s="64">
        <f>'Debt Schedule'!M14</f>
        <v>679.4665683160639</v>
      </c>
      <c r="N35" s="64">
        <f>'Debt Schedule'!N14</f>
        <v>669.17162031127509</v>
      </c>
      <c r="O35" s="64">
        <f>'Debt Schedule'!O14</f>
        <v>658.87667230648617</v>
      </c>
      <c r="P35" s="64">
        <f>'Debt Schedule'!P14</f>
        <v>648.58172430169736</v>
      </c>
      <c r="Q35" s="64">
        <f>'Debt Schedule'!Q14</f>
        <v>638.28677629690844</v>
      </c>
      <c r="R35" s="64">
        <f>'Debt Schedule'!R14</f>
        <v>627.99182829211964</v>
      </c>
      <c r="S35" s="64">
        <f>'Debt Schedule'!S14</f>
        <v>617.69688028733083</v>
      </c>
      <c r="T35" s="64">
        <f>'Debt Schedule'!T14</f>
        <v>607.40193228254191</v>
      </c>
      <c r="U35" s="64">
        <f>'Debt Schedule'!U14</f>
        <v>597.1069842777531</v>
      </c>
      <c r="V35" s="64">
        <f>'Debt Schedule'!V14</f>
        <v>586.81203627296429</v>
      </c>
      <c r="W35" s="64">
        <f>'Debt Schedule'!W14</f>
        <v>576.51708826817537</v>
      </c>
      <c r="X35" s="64">
        <f>'Debt Schedule'!X14</f>
        <v>566.22214026338656</v>
      </c>
      <c r="Y35" s="64">
        <f>'Debt Schedule'!Y14</f>
        <v>555.92719225859776</v>
      </c>
      <c r="Z35" s="64">
        <f>'Debt Schedule'!Z14</f>
        <v>545.63224425380884</v>
      </c>
      <c r="AA35" s="64">
        <f>'Debt Schedule'!AA14</f>
        <v>535.33729624902003</v>
      </c>
      <c r="AB35" s="64">
        <f>'Debt Schedule'!AB14</f>
        <v>525.04234824423122</v>
      </c>
      <c r="AC35" s="64">
        <f>'Debt Schedule'!AC14</f>
        <v>514.7474002394423</v>
      </c>
      <c r="AD35" s="64">
        <f>'Debt Schedule'!AD14</f>
        <v>504.45245223465349</v>
      </c>
      <c r="AE35" s="64">
        <f>'Debt Schedule'!AE14</f>
        <v>494.15750422986463</v>
      </c>
      <c r="AF35" s="64">
        <f>'Debt Schedule'!AF14</f>
        <v>483.86255622507582</v>
      </c>
      <c r="AG35" s="64">
        <f>'Debt Schedule'!AG14</f>
        <v>473.5676082202869</v>
      </c>
      <c r="AH35" s="64">
        <f>'Debt Schedule'!AH14</f>
        <v>463.27266021549809</v>
      </c>
      <c r="AI35" s="64">
        <f>'Debt Schedule'!AI14</f>
        <v>452.97771221070923</v>
      </c>
      <c r="AJ35" s="64">
        <f>'Debt Schedule'!AJ14</f>
        <v>442.68276420592042</v>
      </c>
      <c r="AK35" s="64">
        <f>'Debt Schedule'!AK14</f>
        <v>432.38781620113161</v>
      </c>
      <c r="AL35" s="64">
        <f>'Debt Schedule'!AL14</f>
        <v>422.09286819634269</v>
      </c>
      <c r="AM35" s="64">
        <f>'Debt Schedule'!AM14</f>
        <v>411.79792019155383</v>
      </c>
      <c r="AN35" s="64">
        <f>'Debt Schedule'!AN14</f>
        <v>401.50297218676502</v>
      </c>
      <c r="AO35" s="64">
        <f>'Debt Schedule'!AO14</f>
        <v>391.20802418197621</v>
      </c>
      <c r="AP35" s="64">
        <f>'Debt Schedule'!AP14</f>
        <v>380.91307617718729</v>
      </c>
      <c r="AQ35" s="64">
        <f>'Debt Schedule'!AQ14</f>
        <v>370.61812817239837</v>
      </c>
      <c r="AR35" s="64">
        <f>'Debt Schedule'!AR14</f>
        <v>360.32318016760962</v>
      </c>
      <c r="AS35" s="64">
        <f>'Debt Schedule'!AS14</f>
        <v>350.02823216282081</v>
      </c>
      <c r="AT35" s="64">
        <f>'Debt Schedule'!AT14</f>
        <v>339.73328415803189</v>
      </c>
      <c r="AU35" s="64">
        <f>'Debt Schedule'!AU14</f>
        <v>329.43833615324297</v>
      </c>
      <c r="AV35" s="64">
        <f>'Debt Schedule'!AV14</f>
        <v>319.14338814845422</v>
      </c>
      <c r="AW35" s="64">
        <f>'Debt Schedule'!AW14</f>
        <v>308.84844014366541</v>
      </c>
      <c r="AX35" s="64">
        <f>'Debt Schedule'!AX14</f>
        <v>298.55349213887649</v>
      </c>
      <c r="AY35" s="64">
        <f>'Debt Schedule'!AY14</f>
        <v>288.25854413408769</v>
      </c>
      <c r="AZ35" s="64">
        <f>'Debt Schedule'!AZ14</f>
        <v>277.96359612929882</v>
      </c>
      <c r="BA35" s="64">
        <f>'Debt Schedule'!BA14</f>
        <v>267.66864812451001</v>
      </c>
      <c r="BB35" s="64">
        <f>'Debt Schedule'!BB14</f>
        <v>257.37370011972109</v>
      </c>
      <c r="BC35" s="64">
        <f>'Debt Schedule'!BC14</f>
        <v>247.07875211493231</v>
      </c>
      <c r="BD35" s="64">
        <f>'Debt Schedule'!BD14</f>
        <v>236.78380411014339</v>
      </c>
      <c r="BE35" s="64">
        <f>'Debt Schedule'!BE14</f>
        <v>226.48885610535461</v>
      </c>
      <c r="BF35" s="64">
        <f>'Debt Schedule'!BF14</f>
        <v>216.19390810056569</v>
      </c>
      <c r="BG35" s="64">
        <f>'Debt Schedule'!BG14</f>
        <v>205.89896009577691</v>
      </c>
      <c r="BH35" s="64">
        <f>'Debt Schedule'!BH14</f>
        <v>195.60401209098799</v>
      </c>
      <c r="BI35" s="64">
        <f>'Debt Schedule'!BI14</f>
        <v>185.30906408619919</v>
      </c>
      <c r="BJ35" s="64">
        <f>'Debt Schedule'!BJ14</f>
        <v>175.01411608141029</v>
      </c>
      <c r="BK35" s="64">
        <f>'Debt Schedule'!BK14</f>
        <v>164.71916807662149</v>
      </c>
      <c r="BL35" s="64">
        <f>'Debt Schedule'!BL14</f>
        <v>154.42422007183259</v>
      </c>
      <c r="BM35" s="64">
        <f>'Debt Schedule'!BM14</f>
        <v>144.12927206704379</v>
      </c>
      <c r="BN35" s="64">
        <f>'Debt Schedule'!BN14</f>
        <v>133.83432406225501</v>
      </c>
      <c r="BO35" s="64">
        <f>'Debt Schedule'!BO14</f>
        <v>123.5393760574661</v>
      </c>
      <c r="BP35" s="64">
        <f>'Debt Schedule'!BP14</f>
        <v>113.24442805267731</v>
      </c>
      <c r="BQ35" s="64">
        <f>'Debt Schedule'!BQ14</f>
        <v>102.9494800478884</v>
      </c>
      <c r="BR35" s="64">
        <f>'Debt Schedule'!BR14</f>
        <v>92.65453204309955</v>
      </c>
      <c r="BS35" s="64">
        <f>'Debt Schedule'!BS14</f>
        <v>82.3595840383107</v>
      </c>
      <c r="BT35" s="64">
        <f>'Debt Schedule'!BT14</f>
        <v>72.06463603352185</v>
      </c>
      <c r="BU35" s="64">
        <f>'Debt Schedule'!BU14</f>
        <v>61.769688028733</v>
      </c>
      <c r="BV35" s="64">
        <f>'Debt Schedule'!BV14</f>
        <v>51.474740023944157</v>
      </c>
      <c r="BW35" s="64">
        <f>'Debt Schedule'!BW14</f>
        <v>41.179792019155308</v>
      </c>
      <c r="BX35" s="64">
        <f>'Debt Schedule'!BX14</f>
        <v>30.884844014366461</v>
      </c>
      <c r="BY35" s="64">
        <f>'Debt Schedule'!BY14</f>
        <v>20.589896009577611</v>
      </c>
      <c r="BZ35" s="64">
        <f>'Debt Schedule'!BZ14</f>
        <v>10.294948004788759</v>
      </c>
      <c r="CA35" s="64">
        <f>'Debt Schedule'!CA14</f>
        <v>0</v>
      </c>
      <c r="CB35" s="64">
        <f>'Debt Schedule'!CB14</f>
        <v>0</v>
      </c>
      <c r="CC35" s="64">
        <f>'Debt Schedule'!CC14</f>
        <v>0</v>
      </c>
      <c r="CD35" s="64">
        <f>'Debt Schedule'!CD14</f>
        <v>0</v>
      </c>
      <c r="CE35" s="64">
        <f>'Debt Schedule'!CE14</f>
        <v>0</v>
      </c>
      <c r="CF35" s="64">
        <f>'Debt Schedule'!CF14</f>
        <v>0</v>
      </c>
      <c r="CG35" s="64">
        <f>'Debt Schedule'!CG14</f>
        <v>0</v>
      </c>
      <c r="CH35" s="64">
        <f>'Debt Schedule'!CH14</f>
        <v>0</v>
      </c>
      <c r="CI35" s="64">
        <f>'Debt Schedule'!CI14</f>
        <v>0</v>
      </c>
      <c r="CJ35" s="64">
        <f>'Debt Schedule'!CJ14</f>
        <v>0</v>
      </c>
      <c r="CK35" s="64">
        <f>'Debt Schedule'!CK14</f>
        <v>0</v>
      </c>
      <c r="CL35" s="64">
        <f>'Debt Schedule'!CL14</f>
        <v>0</v>
      </c>
      <c r="CM35" s="64">
        <f>'Debt Schedule'!CM14</f>
        <v>0</v>
      </c>
      <c r="CN35" s="64">
        <f>'Debt Schedule'!CN14</f>
        <v>0</v>
      </c>
      <c r="CO35" s="64">
        <f>'Debt Schedule'!CO14</f>
        <v>0</v>
      </c>
      <c r="CP35" s="64">
        <f>'Debt Schedule'!CP14</f>
        <v>0</v>
      </c>
      <c r="CQ35" s="64">
        <f>'Debt Schedule'!CQ14</f>
        <v>0</v>
      </c>
      <c r="CR35" s="64">
        <f>'Debt Schedule'!CR14</f>
        <v>0</v>
      </c>
      <c r="CS35" s="64">
        <f>'Debt Schedule'!CS14</f>
        <v>0</v>
      </c>
      <c r="CT35" s="64">
        <f>'Debt Schedule'!CT14</f>
        <v>0</v>
      </c>
      <c r="CU35" s="64">
        <f>'Debt Schedule'!CU14</f>
        <v>0</v>
      </c>
      <c r="CV35" s="64">
        <f>'Debt Schedule'!CV14</f>
        <v>0</v>
      </c>
      <c r="CW35" s="64">
        <f>'Debt Schedule'!CW14</f>
        <v>0</v>
      </c>
      <c r="CX35" s="64">
        <f>'Debt Schedule'!CX14</f>
        <v>0</v>
      </c>
      <c r="CY35" s="64">
        <f>'Debt Schedule'!CY14</f>
        <v>0</v>
      </c>
      <c r="CZ35" s="64">
        <f>'Debt Schedule'!CZ14</f>
        <v>0</v>
      </c>
      <c r="DA35" s="64">
        <f>'Debt Schedule'!DA14</f>
        <v>0</v>
      </c>
      <c r="DB35" s="64">
        <f>'Debt Schedule'!DB14</f>
        <v>0</v>
      </c>
    </row>
    <row r="37" spans="1:106" x14ac:dyDescent="0.45">
      <c r="A37" t="s">
        <v>188</v>
      </c>
      <c r="G37" s="64">
        <f t="shared" ref="G37:Q37" si="10">G33-G35</f>
        <v>-273.82703709479699</v>
      </c>
      <c r="H37" s="64">
        <f t="shared" si="10"/>
        <v>-266.6430199011586</v>
      </c>
      <c r="I37" s="64">
        <f t="shared" si="10"/>
        <v>-259.46835288741522</v>
      </c>
      <c r="J37" s="64">
        <f t="shared" si="10"/>
        <v>-252.30312259155289</v>
      </c>
      <c r="K37" s="64">
        <f t="shared" si="10"/>
        <v>-245.14741617189156</v>
      </c>
      <c r="L37" s="64">
        <f t="shared" si="10"/>
        <v>-238.0013214117148</v>
      </c>
      <c r="M37" s="64">
        <f t="shared" si="10"/>
        <v>-230.86492672393024</v>
      </c>
      <c r="N37" s="64">
        <f t="shared" si="10"/>
        <v>-223.7383211557667</v>
      </c>
      <c r="O37" s="64">
        <f t="shared" si="10"/>
        <v>-216.62159439350489</v>
      </c>
      <c r="P37" s="64">
        <f t="shared" si="10"/>
        <v>-209.51483676724854</v>
      </c>
      <c r="Q37" s="64">
        <f>Q33-Q35</f>
        <v>-202.41813925572035</v>
      </c>
      <c r="R37" s="64">
        <f t="shared" ref="R37:CC37" si="11">R33-R35</f>
        <v>-195.33159349110326</v>
      </c>
      <c r="S37" s="64">
        <f t="shared" si="11"/>
        <v>-188.25529176391467</v>
      </c>
      <c r="T37" s="64">
        <f t="shared" si="11"/>
        <v>-181.18932702791233</v>
      </c>
      <c r="U37" s="64">
        <f t="shared" si="11"/>
        <v>-174.1337929050444</v>
      </c>
      <c r="V37" s="64">
        <f t="shared" si="11"/>
        <v>-167.08878369042941</v>
      </c>
      <c r="W37" s="64">
        <f t="shared" si="11"/>
        <v>-160.05439435737605</v>
      </c>
      <c r="X37" s="64">
        <f t="shared" si="11"/>
        <v>-153.03072056244173</v>
      </c>
      <c r="Y37" s="64">
        <f t="shared" si="11"/>
        <v>-146.017858650525</v>
      </c>
      <c r="Z37" s="64">
        <f t="shared" si="11"/>
        <v>-139.0159056599972</v>
      </c>
      <c r="AA37" s="64">
        <f t="shared" si="11"/>
        <v>-132.02495932787485</v>
      </c>
      <c r="AB37" s="64">
        <f t="shared" si="11"/>
        <v>-125.04511809502537</v>
      </c>
      <c r="AC37" s="64">
        <f t="shared" si="11"/>
        <v>-118.07648111141509</v>
      </c>
      <c r="AD37" s="64">
        <f t="shared" si="11"/>
        <v>-111.11914824139603</v>
      </c>
      <c r="AE37" s="64">
        <f t="shared" si="11"/>
        <v>-104.1732200690281</v>
      </c>
      <c r="AF37" s="64">
        <f t="shared" si="11"/>
        <v>-97.23879790344705</v>
      </c>
      <c r="AG37" s="64">
        <f t="shared" si="11"/>
        <v>-90.31598378426537</v>
      </c>
      <c r="AH37" s="64">
        <f t="shared" si="11"/>
        <v>-83.404880487019284</v>
      </c>
      <c r="AI37" s="64">
        <f t="shared" si="11"/>
        <v>-76.505591528651053</v>
      </c>
      <c r="AJ37" s="64">
        <f t="shared" si="11"/>
        <v>-69.618221173035863</v>
      </c>
      <c r="AK37" s="64">
        <f t="shared" si="11"/>
        <v>-62.742874436546913</v>
      </c>
      <c r="AL37" s="64">
        <f t="shared" si="11"/>
        <v>-55.879657093663013</v>
      </c>
      <c r="AM37" s="64">
        <f t="shared" si="11"/>
        <v>-49.028675682619621</v>
      </c>
      <c r="AN37" s="64">
        <f t="shared" si="11"/>
        <v>-42.190037511094886</v>
      </c>
      <c r="AO37" s="64">
        <f t="shared" si="11"/>
        <v>-35.363850661948561</v>
      </c>
      <c r="AP37" s="64">
        <f t="shared" si="11"/>
        <v>-28.550223998992863</v>
      </c>
      <c r="AQ37" s="64">
        <f t="shared" si="11"/>
        <v>-21.749267172813177</v>
      </c>
      <c r="AR37" s="64">
        <f t="shared" si="11"/>
        <v>-14.961090626629243</v>
      </c>
      <c r="AS37" s="64">
        <f t="shared" si="11"/>
        <v>-8.1858056021995935</v>
      </c>
      <c r="AT37" s="64">
        <f t="shared" si="11"/>
        <v>-1.4235241457693064</v>
      </c>
      <c r="AU37" s="64">
        <f t="shared" si="11"/>
        <v>5.3256408859351723</v>
      </c>
      <c r="AV37" s="64">
        <f t="shared" si="11"/>
        <v>12.061575819670509</v>
      </c>
      <c r="AW37" s="64">
        <f t="shared" si="11"/>
        <v>18.78416615959253</v>
      </c>
      <c r="AX37" s="64">
        <f t="shared" si="11"/>
        <v>25.493296581133166</v>
      </c>
      <c r="AY37" s="64">
        <f t="shared" si="11"/>
        <v>32.188850924823612</v>
      </c>
      <c r="AZ37" s="64">
        <f t="shared" si="11"/>
        <v>38.870712190079303</v>
      </c>
      <c r="BA37" s="64">
        <f t="shared" si="11"/>
        <v>45.538762528934399</v>
      </c>
      <c r="BB37" s="64">
        <f t="shared" si="11"/>
        <v>52.192883239730804</v>
      </c>
      <c r="BC37" s="64">
        <f t="shared" si="11"/>
        <v>58.832954760761339</v>
      </c>
      <c r="BD37" s="64">
        <f t="shared" si="11"/>
        <v>65.458856663865362</v>
      </c>
      <c r="BE37" s="64">
        <f t="shared" si="11"/>
        <v>72.070467647976045</v>
      </c>
      <c r="BF37" s="64">
        <f t="shared" si="11"/>
        <v>78.667665532622607</v>
      </c>
      <c r="BG37" s="64">
        <f t="shared" si="11"/>
        <v>85.250327251377172</v>
      </c>
      <c r="BH37" s="64">
        <f t="shared" si="11"/>
        <v>91.818328845265029</v>
      </c>
      <c r="BI37" s="64">
        <f t="shared" si="11"/>
        <v>98.371545456113864</v>
      </c>
      <c r="BJ37" s="64">
        <f t="shared" si="11"/>
        <v>104.90985131986122</v>
      </c>
      <c r="BK37" s="64">
        <f t="shared" si="11"/>
        <v>111.43311975981135</v>
      </c>
      <c r="BL37" s="64">
        <f t="shared" si="11"/>
        <v>117.94122317983644</v>
      </c>
      <c r="BM37" s="64">
        <f t="shared" si="11"/>
        <v>124.43403305753847</v>
      </c>
      <c r="BN37" s="64">
        <f t="shared" si="11"/>
        <v>130.91141993734715</v>
      </c>
      <c r="BO37" s="64">
        <f t="shared" si="11"/>
        <v>137.37325342357866</v>
      </c>
      <c r="BP37" s="64">
        <f t="shared" si="11"/>
        <v>143.81940217343404</v>
      </c>
      <c r="BQ37" s="64">
        <f t="shared" si="11"/>
        <v>150.24973388995147</v>
      </c>
      <c r="BR37" s="64">
        <f t="shared" si="11"/>
        <v>156.66411531490195</v>
      </c>
      <c r="BS37" s="64">
        <f t="shared" si="11"/>
        <v>163.06241222163771</v>
      </c>
      <c r="BT37" s="64">
        <f t="shared" si="11"/>
        <v>169.44448940788087</v>
      </c>
      <c r="BU37" s="64">
        <f t="shared" si="11"/>
        <v>175.810210688464</v>
      </c>
      <c r="BV37" s="64">
        <f t="shared" si="11"/>
        <v>182.15943888801633</v>
      </c>
      <c r="BW37" s="64">
        <f t="shared" si="11"/>
        <v>188.4920358335909</v>
      </c>
      <c r="BX37" s="64">
        <f t="shared" si="11"/>
        <v>194.80786234724312</v>
      </c>
      <c r="BY37" s="64">
        <f t="shared" si="11"/>
        <v>201.1067782385519</v>
      </c>
      <c r="BZ37" s="64">
        <f t="shared" si="11"/>
        <v>207.38864229708355</v>
      </c>
      <c r="CA37" s="64">
        <f t="shared" si="11"/>
        <v>213.65331228480295</v>
      </c>
      <c r="CB37" s="64">
        <f t="shared" si="11"/>
        <v>209.60569692363788</v>
      </c>
      <c r="CC37" s="64">
        <f t="shared" si="11"/>
        <v>205.54059990214273</v>
      </c>
      <c r="CD37" s="64">
        <f t="shared" ref="CD37:DB37" si="12">CD33-CD35</f>
        <v>201.45787585336848</v>
      </c>
      <c r="CE37" s="64">
        <f t="shared" si="12"/>
        <v>197.35737835183932</v>
      </c>
      <c r="CF37" s="64">
        <f t="shared" si="12"/>
        <v>193.23895990567189</v>
      </c>
      <c r="CG37" s="64">
        <f t="shared" si="12"/>
        <v>189.10247194864291</v>
      </c>
      <c r="CH37" s="64">
        <f t="shared" si="12"/>
        <v>184.94776483219766</v>
      </c>
      <c r="CI37" s="64">
        <f t="shared" si="12"/>
        <v>180.77468781739435</v>
      </c>
      <c r="CJ37" s="64">
        <f t="shared" si="12"/>
        <v>176.58308906679474</v>
      </c>
      <c r="CK37" s="64">
        <f t="shared" si="12"/>
        <v>172.37281563629108</v>
      </c>
      <c r="CL37" s="64">
        <f t="shared" si="12"/>
        <v>168.14371346687517</v>
      </c>
      <c r="CM37" s="64">
        <f t="shared" si="12"/>
        <v>163.89562737634105</v>
      </c>
      <c r="CN37" s="64">
        <f t="shared" si="12"/>
        <v>159.62840105093187</v>
      </c>
      <c r="CO37" s="64">
        <f t="shared" si="12"/>
        <v>155.34187703692362</v>
      </c>
      <c r="CP37" s="64">
        <f t="shared" si="12"/>
        <v>151.03589673214469</v>
      </c>
      <c r="CQ37" s="64">
        <f t="shared" si="12"/>
        <v>146.71030037743355</v>
      </c>
      <c r="CR37" s="64">
        <f t="shared" si="12"/>
        <v>142.36492704803186</v>
      </c>
      <c r="CS37" s="64">
        <f t="shared" si="12"/>
        <v>137.99961464491685</v>
      </c>
      <c r="CT37" s="64">
        <f t="shared" si="12"/>
        <v>133.61419988606599</v>
      </c>
      <c r="CU37" s="64">
        <f t="shared" si="12"/>
        <v>129.20851829766013</v>
      </c>
      <c r="CV37" s="64">
        <f t="shared" si="12"/>
        <v>124.78240420521729</v>
      </c>
      <c r="CW37" s="64">
        <f t="shared" si="12"/>
        <v>120.33569072466537</v>
      </c>
      <c r="CX37" s="64">
        <f t="shared" si="12"/>
        <v>115.86820975334547</v>
      </c>
      <c r="CY37" s="64">
        <f t="shared" si="12"/>
        <v>111.37979196094875</v>
      </c>
      <c r="CZ37" s="64">
        <f t="shared" si="12"/>
        <v>106.87026678038956</v>
      </c>
      <c r="DA37" s="64">
        <f t="shared" si="12"/>
        <v>102.33946239860416</v>
      </c>
      <c r="DB37" s="64">
        <f t="shared" si="12"/>
        <v>97.787205747289363</v>
      </c>
    </row>
    <row r="39" spans="1:106" x14ac:dyDescent="0.45">
      <c r="A39" t="s">
        <v>310</v>
      </c>
      <c r="B39">
        <f>Assumptions!B30</f>
        <v>0.25</v>
      </c>
      <c r="G39" s="63">
        <f>(G37&gt;0)*G37*$B$39</f>
        <v>0</v>
      </c>
      <c r="H39" s="63">
        <f t="shared" ref="H39:BS39" si="13">(H37&gt;0)*H37*$B$39</f>
        <v>0</v>
      </c>
      <c r="I39" s="63">
        <f t="shared" si="13"/>
        <v>0</v>
      </c>
      <c r="J39" s="63">
        <f t="shared" si="13"/>
        <v>0</v>
      </c>
      <c r="K39" s="63">
        <f t="shared" si="13"/>
        <v>0</v>
      </c>
      <c r="L39" s="63">
        <f t="shared" si="13"/>
        <v>0</v>
      </c>
      <c r="M39" s="63">
        <f t="shared" si="13"/>
        <v>0</v>
      </c>
      <c r="N39" s="63">
        <f t="shared" si="13"/>
        <v>0</v>
      </c>
      <c r="O39" s="63">
        <f t="shared" si="13"/>
        <v>0</v>
      </c>
      <c r="P39" s="63">
        <f t="shared" si="13"/>
        <v>0</v>
      </c>
      <c r="Q39" s="63">
        <f t="shared" si="13"/>
        <v>0</v>
      </c>
      <c r="R39" s="63">
        <f t="shared" si="13"/>
        <v>0</v>
      </c>
      <c r="S39" s="63">
        <f t="shared" si="13"/>
        <v>0</v>
      </c>
      <c r="T39" s="63">
        <f t="shared" si="13"/>
        <v>0</v>
      </c>
      <c r="U39" s="63">
        <f t="shared" si="13"/>
        <v>0</v>
      </c>
      <c r="V39" s="63">
        <f t="shared" si="13"/>
        <v>0</v>
      </c>
      <c r="W39" s="63">
        <f t="shared" si="13"/>
        <v>0</v>
      </c>
      <c r="X39" s="63">
        <f t="shared" si="13"/>
        <v>0</v>
      </c>
      <c r="Y39" s="63">
        <f t="shared" si="13"/>
        <v>0</v>
      </c>
      <c r="Z39" s="63">
        <f t="shared" si="13"/>
        <v>0</v>
      </c>
      <c r="AA39" s="63">
        <f t="shared" si="13"/>
        <v>0</v>
      </c>
      <c r="AB39" s="63">
        <f t="shared" si="13"/>
        <v>0</v>
      </c>
      <c r="AC39" s="63">
        <f t="shared" si="13"/>
        <v>0</v>
      </c>
      <c r="AD39" s="63">
        <f t="shared" si="13"/>
        <v>0</v>
      </c>
      <c r="AE39" s="63">
        <f t="shared" si="13"/>
        <v>0</v>
      </c>
      <c r="AF39" s="63">
        <f t="shared" si="13"/>
        <v>0</v>
      </c>
      <c r="AG39" s="63">
        <f t="shared" si="13"/>
        <v>0</v>
      </c>
      <c r="AH39" s="63">
        <f t="shared" si="13"/>
        <v>0</v>
      </c>
      <c r="AI39" s="63">
        <f t="shared" si="13"/>
        <v>0</v>
      </c>
      <c r="AJ39" s="63">
        <f t="shared" si="13"/>
        <v>0</v>
      </c>
      <c r="AK39" s="63">
        <f t="shared" si="13"/>
        <v>0</v>
      </c>
      <c r="AL39" s="63">
        <f t="shared" si="13"/>
        <v>0</v>
      </c>
      <c r="AM39" s="63">
        <f t="shared" si="13"/>
        <v>0</v>
      </c>
      <c r="AN39" s="63">
        <f t="shared" si="13"/>
        <v>0</v>
      </c>
      <c r="AO39" s="63">
        <f t="shared" si="13"/>
        <v>0</v>
      </c>
      <c r="AP39" s="63">
        <f t="shared" si="13"/>
        <v>0</v>
      </c>
      <c r="AQ39" s="63">
        <f t="shared" si="13"/>
        <v>0</v>
      </c>
      <c r="AR39" s="63">
        <f t="shared" si="13"/>
        <v>0</v>
      </c>
      <c r="AS39" s="63">
        <f t="shared" si="13"/>
        <v>0</v>
      </c>
      <c r="AT39" s="63">
        <f t="shared" si="13"/>
        <v>0</v>
      </c>
      <c r="AU39" s="63">
        <f t="shared" si="13"/>
        <v>1.3314102214837931</v>
      </c>
      <c r="AV39" s="63">
        <f t="shared" si="13"/>
        <v>3.0153939549176272</v>
      </c>
      <c r="AW39" s="63">
        <f t="shared" si="13"/>
        <v>4.6960415398981326</v>
      </c>
      <c r="AX39" s="63">
        <f t="shared" si="13"/>
        <v>6.3733241452832914</v>
      </c>
      <c r="AY39" s="63">
        <f t="shared" si="13"/>
        <v>8.047212731205903</v>
      </c>
      <c r="AZ39" s="63">
        <f t="shared" si="13"/>
        <v>9.7176780475198257</v>
      </c>
      <c r="BA39" s="63">
        <f t="shared" si="13"/>
        <v>11.3846906322336</v>
      </c>
      <c r="BB39" s="63">
        <f t="shared" si="13"/>
        <v>13.048220809932701</v>
      </c>
      <c r="BC39" s="63">
        <f t="shared" si="13"/>
        <v>14.708238690190335</v>
      </c>
      <c r="BD39" s="63">
        <f t="shared" si="13"/>
        <v>16.36471416596634</v>
      </c>
      <c r="BE39" s="63">
        <f t="shared" si="13"/>
        <v>18.017616911994011</v>
      </c>
      <c r="BF39" s="63">
        <f t="shared" si="13"/>
        <v>19.666916383155652</v>
      </c>
      <c r="BG39" s="63">
        <f t="shared" si="13"/>
        <v>21.312581812844293</v>
      </c>
      <c r="BH39" s="63">
        <f t="shared" si="13"/>
        <v>22.954582211316257</v>
      </c>
      <c r="BI39" s="63">
        <f t="shared" si="13"/>
        <v>24.592886364028466</v>
      </c>
      <c r="BJ39" s="63">
        <f t="shared" si="13"/>
        <v>26.227462829965305</v>
      </c>
      <c r="BK39" s="63">
        <f t="shared" si="13"/>
        <v>27.858279939952837</v>
      </c>
      <c r="BL39" s="63">
        <f t="shared" si="13"/>
        <v>29.48530579495911</v>
      </c>
      <c r="BM39" s="63">
        <f t="shared" si="13"/>
        <v>31.108508264384618</v>
      </c>
      <c r="BN39" s="63">
        <f t="shared" si="13"/>
        <v>32.727854984336787</v>
      </c>
      <c r="BO39" s="63">
        <f t="shared" si="13"/>
        <v>34.343313355894665</v>
      </c>
      <c r="BP39" s="63">
        <f t="shared" si="13"/>
        <v>35.954850543358511</v>
      </c>
      <c r="BQ39" s="63">
        <f t="shared" si="13"/>
        <v>37.562433472487868</v>
      </c>
      <c r="BR39" s="63">
        <f t="shared" si="13"/>
        <v>39.166028828725487</v>
      </c>
      <c r="BS39" s="63">
        <f t="shared" si="13"/>
        <v>40.765603055409429</v>
      </c>
      <c r="BT39" s="63">
        <f t="shared" ref="BT39:DB39" si="14">(BT37&gt;0)*BT37*$B$39</f>
        <v>42.361122351970216</v>
      </c>
      <c r="BU39" s="63">
        <f t="shared" si="14"/>
        <v>43.952552672115999</v>
      </c>
      <c r="BV39" s="63">
        <f t="shared" si="14"/>
        <v>45.539859722004081</v>
      </c>
      <c r="BW39" s="63">
        <f t="shared" si="14"/>
        <v>47.123008958397726</v>
      </c>
      <c r="BX39" s="63">
        <f t="shared" si="14"/>
        <v>48.701965586810779</v>
      </c>
      <c r="BY39" s="63">
        <f t="shared" si="14"/>
        <v>50.276694559637974</v>
      </c>
      <c r="BZ39" s="63">
        <f t="shared" si="14"/>
        <v>51.847160574270887</v>
      </c>
      <c r="CA39" s="63">
        <f t="shared" si="14"/>
        <v>53.413328071200738</v>
      </c>
      <c r="CB39" s="63">
        <f t="shared" si="14"/>
        <v>52.40142423090947</v>
      </c>
      <c r="CC39" s="63">
        <f t="shared" si="14"/>
        <v>51.385149975535683</v>
      </c>
      <c r="CD39" s="63">
        <f t="shared" si="14"/>
        <v>50.364468963342119</v>
      </c>
      <c r="CE39" s="63">
        <f t="shared" si="14"/>
        <v>49.339344587959829</v>
      </c>
      <c r="CF39" s="63">
        <f t="shared" si="14"/>
        <v>48.309739976417973</v>
      </c>
      <c r="CG39" s="63">
        <f t="shared" si="14"/>
        <v>47.275617987160729</v>
      </c>
      <c r="CH39" s="63">
        <f t="shared" si="14"/>
        <v>46.236941208049416</v>
      </c>
      <c r="CI39" s="63">
        <f t="shared" si="14"/>
        <v>45.193671954348588</v>
      </c>
      <c r="CJ39" s="63">
        <f t="shared" si="14"/>
        <v>44.145772266698685</v>
      </c>
      <c r="CK39" s="63">
        <f t="shared" si="14"/>
        <v>43.09320390907277</v>
      </c>
      <c r="CL39" s="63">
        <f t="shared" si="14"/>
        <v>42.035928366718792</v>
      </c>
      <c r="CM39" s="63">
        <f t="shared" si="14"/>
        <v>40.973906844085263</v>
      </c>
      <c r="CN39" s="63">
        <f t="shared" si="14"/>
        <v>39.907100262732968</v>
      </c>
      <c r="CO39" s="63">
        <f t="shared" si="14"/>
        <v>38.835469259230905</v>
      </c>
      <c r="CP39" s="63">
        <f t="shared" si="14"/>
        <v>37.758974183036173</v>
      </c>
      <c r="CQ39" s="63">
        <f t="shared" si="14"/>
        <v>36.677575094358389</v>
      </c>
      <c r="CR39" s="63">
        <f t="shared" si="14"/>
        <v>35.591231762007965</v>
      </c>
      <c r="CS39" s="63">
        <f t="shared" si="14"/>
        <v>34.499903661229212</v>
      </c>
      <c r="CT39" s="63">
        <f t="shared" si="14"/>
        <v>33.403549971516497</v>
      </c>
      <c r="CU39" s="63">
        <f t="shared" si="14"/>
        <v>32.302129574415034</v>
      </c>
      <c r="CV39" s="63">
        <f t="shared" si="14"/>
        <v>31.195601051304322</v>
      </c>
      <c r="CW39" s="63">
        <f t="shared" si="14"/>
        <v>30.083922681166342</v>
      </c>
      <c r="CX39" s="63">
        <f t="shared" si="14"/>
        <v>28.967052438336367</v>
      </c>
      <c r="CY39" s="63">
        <f t="shared" si="14"/>
        <v>27.844947990237188</v>
      </c>
      <c r="CZ39" s="63">
        <f t="shared" si="14"/>
        <v>26.717566695097389</v>
      </c>
      <c r="DA39" s="63">
        <f t="shared" si="14"/>
        <v>25.584865599651039</v>
      </c>
      <c r="DB39" s="63">
        <f t="shared" si="14"/>
        <v>24.446801436822341</v>
      </c>
    </row>
    <row r="41" spans="1:106" x14ac:dyDescent="0.45">
      <c r="A41" t="s">
        <v>311</v>
      </c>
      <c r="G41" s="64">
        <f>G37-G39</f>
        <v>-273.82703709479699</v>
      </c>
      <c r="H41" s="64">
        <f t="shared" ref="H41:BS41" si="15">H37-H39</f>
        <v>-266.6430199011586</v>
      </c>
      <c r="I41" s="64">
        <f t="shared" si="15"/>
        <v>-259.46835288741522</v>
      </c>
      <c r="J41" s="64">
        <f t="shared" si="15"/>
        <v>-252.30312259155289</v>
      </c>
      <c r="K41" s="64">
        <f t="shared" si="15"/>
        <v>-245.14741617189156</v>
      </c>
      <c r="L41" s="64">
        <f t="shared" si="15"/>
        <v>-238.0013214117148</v>
      </c>
      <c r="M41" s="64">
        <f t="shared" si="15"/>
        <v>-230.86492672393024</v>
      </c>
      <c r="N41" s="64">
        <f t="shared" si="15"/>
        <v>-223.7383211557667</v>
      </c>
      <c r="O41" s="64">
        <f t="shared" si="15"/>
        <v>-216.62159439350489</v>
      </c>
      <c r="P41" s="64">
        <f t="shared" si="15"/>
        <v>-209.51483676724854</v>
      </c>
      <c r="Q41" s="64">
        <f t="shared" si="15"/>
        <v>-202.41813925572035</v>
      </c>
      <c r="R41" s="64">
        <f t="shared" si="15"/>
        <v>-195.33159349110326</v>
      </c>
      <c r="S41" s="64">
        <f t="shared" si="15"/>
        <v>-188.25529176391467</v>
      </c>
      <c r="T41" s="64">
        <f t="shared" si="15"/>
        <v>-181.18932702791233</v>
      </c>
      <c r="U41" s="64">
        <f t="shared" si="15"/>
        <v>-174.1337929050444</v>
      </c>
      <c r="V41" s="64">
        <f t="shared" si="15"/>
        <v>-167.08878369042941</v>
      </c>
      <c r="W41" s="64">
        <f t="shared" si="15"/>
        <v>-160.05439435737605</v>
      </c>
      <c r="X41" s="64">
        <f t="shared" si="15"/>
        <v>-153.03072056244173</v>
      </c>
      <c r="Y41" s="64">
        <f t="shared" si="15"/>
        <v>-146.017858650525</v>
      </c>
      <c r="Z41" s="64">
        <f t="shared" si="15"/>
        <v>-139.0159056599972</v>
      </c>
      <c r="AA41" s="64">
        <f t="shared" si="15"/>
        <v>-132.02495932787485</v>
      </c>
      <c r="AB41" s="64">
        <f t="shared" si="15"/>
        <v>-125.04511809502537</v>
      </c>
      <c r="AC41" s="64">
        <f t="shared" si="15"/>
        <v>-118.07648111141509</v>
      </c>
      <c r="AD41" s="64">
        <f t="shared" si="15"/>
        <v>-111.11914824139603</v>
      </c>
      <c r="AE41" s="64">
        <f t="shared" si="15"/>
        <v>-104.1732200690281</v>
      </c>
      <c r="AF41" s="64">
        <f t="shared" si="15"/>
        <v>-97.23879790344705</v>
      </c>
      <c r="AG41" s="64">
        <f t="shared" si="15"/>
        <v>-90.31598378426537</v>
      </c>
      <c r="AH41" s="64">
        <f t="shared" si="15"/>
        <v>-83.404880487019284</v>
      </c>
      <c r="AI41" s="64">
        <f t="shared" si="15"/>
        <v>-76.505591528651053</v>
      </c>
      <c r="AJ41" s="64">
        <f t="shared" si="15"/>
        <v>-69.618221173035863</v>
      </c>
      <c r="AK41" s="64">
        <f t="shared" si="15"/>
        <v>-62.742874436546913</v>
      </c>
      <c r="AL41" s="64">
        <f t="shared" si="15"/>
        <v>-55.879657093663013</v>
      </c>
      <c r="AM41" s="64">
        <f t="shared" si="15"/>
        <v>-49.028675682619621</v>
      </c>
      <c r="AN41" s="64">
        <f t="shared" si="15"/>
        <v>-42.190037511094886</v>
      </c>
      <c r="AO41" s="64">
        <f t="shared" si="15"/>
        <v>-35.363850661948561</v>
      </c>
      <c r="AP41" s="64">
        <f t="shared" si="15"/>
        <v>-28.550223998992863</v>
      </c>
      <c r="AQ41" s="64">
        <f t="shared" si="15"/>
        <v>-21.749267172813177</v>
      </c>
      <c r="AR41" s="64">
        <f t="shared" si="15"/>
        <v>-14.961090626629243</v>
      </c>
      <c r="AS41" s="64">
        <f t="shared" si="15"/>
        <v>-8.1858056021995935</v>
      </c>
      <c r="AT41" s="64">
        <f t="shared" si="15"/>
        <v>-1.4235241457693064</v>
      </c>
      <c r="AU41" s="64">
        <f t="shared" si="15"/>
        <v>3.9942306644513792</v>
      </c>
      <c r="AV41" s="64">
        <f t="shared" si="15"/>
        <v>9.0461818647528816</v>
      </c>
      <c r="AW41" s="64">
        <f t="shared" si="15"/>
        <v>14.088124619694398</v>
      </c>
      <c r="AX41" s="64">
        <f t="shared" si="15"/>
        <v>19.119972435849874</v>
      </c>
      <c r="AY41" s="64">
        <f t="shared" si="15"/>
        <v>24.141638193617709</v>
      </c>
      <c r="AZ41" s="64">
        <f t="shared" si="15"/>
        <v>29.153034142559477</v>
      </c>
      <c r="BA41" s="64">
        <f t="shared" si="15"/>
        <v>34.154071896700799</v>
      </c>
      <c r="BB41" s="64">
        <f t="shared" si="15"/>
        <v>39.144662429798103</v>
      </c>
      <c r="BC41" s="64">
        <f t="shared" si="15"/>
        <v>44.124716070571004</v>
      </c>
      <c r="BD41" s="64">
        <f t="shared" si="15"/>
        <v>49.094142497899021</v>
      </c>
      <c r="BE41" s="64">
        <f t="shared" si="15"/>
        <v>54.052850735982034</v>
      </c>
      <c r="BF41" s="64">
        <f t="shared" si="15"/>
        <v>59.000749149466955</v>
      </c>
      <c r="BG41" s="64">
        <f t="shared" si="15"/>
        <v>63.937745438532879</v>
      </c>
      <c r="BH41" s="64">
        <f t="shared" si="15"/>
        <v>68.863746633948779</v>
      </c>
      <c r="BI41" s="64">
        <f t="shared" si="15"/>
        <v>73.778659092085405</v>
      </c>
      <c r="BJ41" s="64">
        <f t="shared" si="15"/>
        <v>78.682388489895914</v>
      </c>
      <c r="BK41" s="64">
        <f t="shared" si="15"/>
        <v>83.574839819858511</v>
      </c>
      <c r="BL41" s="64">
        <f t="shared" si="15"/>
        <v>88.455917384877324</v>
      </c>
      <c r="BM41" s="64">
        <f t="shared" si="15"/>
        <v>93.325524793153846</v>
      </c>
      <c r="BN41" s="64">
        <f t="shared" si="15"/>
        <v>98.183564953010361</v>
      </c>
      <c r="BO41" s="64">
        <f t="shared" si="15"/>
        <v>103.029940067684</v>
      </c>
      <c r="BP41" s="64">
        <f t="shared" si="15"/>
        <v>107.86455163007554</v>
      </c>
      <c r="BQ41" s="64">
        <f t="shared" si="15"/>
        <v>112.6873004174636</v>
      </c>
      <c r="BR41" s="64">
        <f t="shared" si="15"/>
        <v>117.49808648617646</v>
      </c>
      <c r="BS41" s="64">
        <f t="shared" si="15"/>
        <v>122.29680916622829</v>
      </c>
      <c r="BT41" s="64">
        <f t="shared" ref="BT41:DB41" si="16">BT37-BT39</f>
        <v>127.08336705591066</v>
      </c>
      <c r="BU41" s="64">
        <f t="shared" si="16"/>
        <v>131.85765801634801</v>
      </c>
      <c r="BV41" s="64">
        <f t="shared" si="16"/>
        <v>136.61957916601224</v>
      </c>
      <c r="BW41" s="64">
        <f t="shared" si="16"/>
        <v>141.36902687519319</v>
      </c>
      <c r="BX41" s="64">
        <f t="shared" si="16"/>
        <v>146.10589676043233</v>
      </c>
      <c r="BY41" s="64">
        <f t="shared" si="16"/>
        <v>150.83008367891392</v>
      </c>
      <c r="BZ41" s="64">
        <f t="shared" si="16"/>
        <v>155.54148172281265</v>
      </c>
      <c r="CA41" s="64">
        <f t="shared" si="16"/>
        <v>160.23998421360221</v>
      </c>
      <c r="CB41" s="64">
        <f t="shared" si="16"/>
        <v>157.20427269272841</v>
      </c>
      <c r="CC41" s="64">
        <f t="shared" si="16"/>
        <v>154.15544992660705</v>
      </c>
      <c r="CD41" s="64">
        <f t="shared" si="16"/>
        <v>151.09340689002636</v>
      </c>
      <c r="CE41" s="64">
        <f t="shared" si="16"/>
        <v>148.01803376387949</v>
      </c>
      <c r="CF41" s="64">
        <f t="shared" si="16"/>
        <v>144.92921992925392</v>
      </c>
      <c r="CG41" s="64">
        <f t="shared" si="16"/>
        <v>141.82685396148219</v>
      </c>
      <c r="CH41" s="64">
        <f t="shared" si="16"/>
        <v>138.71082362414825</v>
      </c>
      <c r="CI41" s="64">
        <f t="shared" si="16"/>
        <v>135.58101586304576</v>
      </c>
      <c r="CJ41" s="64">
        <f t="shared" si="16"/>
        <v>132.43731680009606</v>
      </c>
      <c r="CK41" s="64">
        <f t="shared" si="16"/>
        <v>129.27961172721831</v>
      </c>
      <c r="CL41" s="64">
        <f t="shared" si="16"/>
        <v>126.10778510015638</v>
      </c>
      <c r="CM41" s="64">
        <f t="shared" si="16"/>
        <v>122.92172053225579</v>
      </c>
      <c r="CN41" s="64">
        <f t="shared" si="16"/>
        <v>119.7213007881989</v>
      </c>
      <c r="CO41" s="64">
        <f t="shared" si="16"/>
        <v>116.50640777769271</v>
      </c>
      <c r="CP41" s="64">
        <f t="shared" si="16"/>
        <v>113.27692254910852</v>
      </c>
      <c r="CQ41" s="64">
        <f t="shared" si="16"/>
        <v>110.03272528307517</v>
      </c>
      <c r="CR41" s="64">
        <f t="shared" si="16"/>
        <v>106.77369528602389</v>
      </c>
      <c r="CS41" s="64">
        <f t="shared" si="16"/>
        <v>103.49971098368763</v>
      </c>
      <c r="CT41" s="64">
        <f t="shared" si="16"/>
        <v>100.21064991454949</v>
      </c>
      <c r="CU41" s="64">
        <f t="shared" si="16"/>
        <v>96.906388723245101</v>
      </c>
      <c r="CV41" s="64">
        <f t="shared" si="16"/>
        <v>93.586803153912967</v>
      </c>
      <c r="CW41" s="64">
        <f t="shared" si="16"/>
        <v>90.251768043499027</v>
      </c>
      <c r="CX41" s="64">
        <f t="shared" si="16"/>
        <v>86.901157315009101</v>
      </c>
      <c r="CY41" s="64">
        <f t="shared" si="16"/>
        <v>83.534843970711563</v>
      </c>
      <c r="CZ41" s="64">
        <f t="shared" si="16"/>
        <v>80.152700085292167</v>
      </c>
      <c r="DA41" s="64">
        <f t="shared" si="16"/>
        <v>76.754596798953116</v>
      </c>
      <c r="DB41" s="64">
        <f t="shared" si="16"/>
        <v>73.340404310467022</v>
      </c>
    </row>
    <row r="43" spans="1:106" x14ac:dyDescent="0.45">
      <c r="A43" s="67" t="s">
        <v>309</v>
      </c>
    </row>
    <row r="44" spans="1:106" x14ac:dyDescent="0.45">
      <c r="A44" s="67"/>
    </row>
    <row r="45" spans="1:106" x14ac:dyDescent="0.45">
      <c r="A45" t="s">
        <v>311</v>
      </c>
      <c r="G45" s="64">
        <f>G41</f>
        <v>-273.82703709479699</v>
      </c>
      <c r="H45" s="64">
        <f t="shared" ref="H45:BS45" si="17">H41</f>
        <v>-266.6430199011586</v>
      </c>
      <c r="I45" s="64">
        <f t="shared" si="17"/>
        <v>-259.46835288741522</v>
      </c>
      <c r="J45" s="64">
        <f t="shared" si="17"/>
        <v>-252.30312259155289</v>
      </c>
      <c r="K45" s="64">
        <f t="shared" si="17"/>
        <v>-245.14741617189156</v>
      </c>
      <c r="L45" s="64">
        <f t="shared" si="17"/>
        <v>-238.0013214117148</v>
      </c>
      <c r="M45" s="64">
        <f t="shared" si="17"/>
        <v>-230.86492672393024</v>
      </c>
      <c r="N45" s="64">
        <f t="shared" si="17"/>
        <v>-223.7383211557667</v>
      </c>
      <c r="O45" s="64">
        <f t="shared" si="17"/>
        <v>-216.62159439350489</v>
      </c>
      <c r="P45" s="64">
        <f t="shared" si="17"/>
        <v>-209.51483676724854</v>
      </c>
      <c r="Q45" s="64">
        <f t="shared" si="17"/>
        <v>-202.41813925572035</v>
      </c>
      <c r="R45" s="64">
        <f t="shared" si="17"/>
        <v>-195.33159349110326</v>
      </c>
      <c r="S45" s="64">
        <f t="shared" si="17"/>
        <v>-188.25529176391467</v>
      </c>
      <c r="T45" s="64">
        <f t="shared" si="17"/>
        <v>-181.18932702791233</v>
      </c>
      <c r="U45" s="64">
        <f t="shared" si="17"/>
        <v>-174.1337929050444</v>
      </c>
      <c r="V45" s="64">
        <f t="shared" si="17"/>
        <v>-167.08878369042941</v>
      </c>
      <c r="W45" s="64">
        <f t="shared" si="17"/>
        <v>-160.05439435737605</v>
      </c>
      <c r="X45" s="64">
        <f t="shared" si="17"/>
        <v>-153.03072056244173</v>
      </c>
      <c r="Y45" s="64">
        <f t="shared" si="17"/>
        <v>-146.017858650525</v>
      </c>
      <c r="Z45" s="64">
        <f t="shared" si="17"/>
        <v>-139.0159056599972</v>
      </c>
      <c r="AA45" s="64">
        <f t="shared" si="17"/>
        <v>-132.02495932787485</v>
      </c>
      <c r="AB45" s="64">
        <f t="shared" si="17"/>
        <v>-125.04511809502537</v>
      </c>
      <c r="AC45" s="64">
        <f t="shared" si="17"/>
        <v>-118.07648111141509</v>
      </c>
      <c r="AD45" s="64">
        <f t="shared" si="17"/>
        <v>-111.11914824139603</v>
      </c>
      <c r="AE45" s="64">
        <f t="shared" si="17"/>
        <v>-104.1732200690281</v>
      </c>
      <c r="AF45" s="64">
        <f t="shared" si="17"/>
        <v>-97.23879790344705</v>
      </c>
      <c r="AG45" s="64">
        <f t="shared" si="17"/>
        <v>-90.31598378426537</v>
      </c>
      <c r="AH45" s="64">
        <f t="shared" si="17"/>
        <v>-83.404880487019284</v>
      </c>
      <c r="AI45" s="64">
        <f t="shared" si="17"/>
        <v>-76.505591528651053</v>
      </c>
      <c r="AJ45" s="64">
        <f t="shared" si="17"/>
        <v>-69.618221173035863</v>
      </c>
      <c r="AK45" s="64">
        <f t="shared" si="17"/>
        <v>-62.742874436546913</v>
      </c>
      <c r="AL45" s="64">
        <f t="shared" si="17"/>
        <v>-55.879657093663013</v>
      </c>
      <c r="AM45" s="64">
        <f t="shared" si="17"/>
        <v>-49.028675682619621</v>
      </c>
      <c r="AN45" s="64">
        <f t="shared" si="17"/>
        <v>-42.190037511094886</v>
      </c>
      <c r="AO45" s="64">
        <f t="shared" si="17"/>
        <v>-35.363850661948561</v>
      </c>
      <c r="AP45" s="64">
        <f t="shared" si="17"/>
        <v>-28.550223998992863</v>
      </c>
      <c r="AQ45" s="64">
        <f t="shared" si="17"/>
        <v>-21.749267172813177</v>
      </c>
      <c r="AR45" s="64">
        <f t="shared" si="17"/>
        <v>-14.961090626629243</v>
      </c>
      <c r="AS45" s="64">
        <f t="shared" si="17"/>
        <v>-8.1858056021995935</v>
      </c>
      <c r="AT45" s="64">
        <f t="shared" si="17"/>
        <v>-1.4235241457693064</v>
      </c>
      <c r="AU45" s="64">
        <f t="shared" si="17"/>
        <v>3.9942306644513792</v>
      </c>
      <c r="AV45" s="64">
        <f t="shared" si="17"/>
        <v>9.0461818647528816</v>
      </c>
      <c r="AW45" s="64">
        <f t="shared" si="17"/>
        <v>14.088124619694398</v>
      </c>
      <c r="AX45" s="64">
        <f t="shared" si="17"/>
        <v>19.119972435849874</v>
      </c>
      <c r="AY45" s="64">
        <f t="shared" si="17"/>
        <v>24.141638193617709</v>
      </c>
      <c r="AZ45" s="64">
        <f t="shared" si="17"/>
        <v>29.153034142559477</v>
      </c>
      <c r="BA45" s="64">
        <f t="shared" si="17"/>
        <v>34.154071896700799</v>
      </c>
      <c r="BB45" s="64">
        <f t="shared" si="17"/>
        <v>39.144662429798103</v>
      </c>
      <c r="BC45" s="64">
        <f t="shared" si="17"/>
        <v>44.124716070571004</v>
      </c>
      <c r="BD45" s="64">
        <f t="shared" si="17"/>
        <v>49.094142497899021</v>
      </c>
      <c r="BE45" s="64">
        <f t="shared" si="17"/>
        <v>54.052850735982034</v>
      </c>
      <c r="BF45" s="64">
        <f t="shared" si="17"/>
        <v>59.000749149466955</v>
      </c>
      <c r="BG45" s="64">
        <f t="shared" si="17"/>
        <v>63.937745438532879</v>
      </c>
      <c r="BH45" s="64">
        <f t="shared" si="17"/>
        <v>68.863746633948779</v>
      </c>
      <c r="BI45" s="64">
        <f t="shared" si="17"/>
        <v>73.778659092085405</v>
      </c>
      <c r="BJ45" s="64">
        <f t="shared" si="17"/>
        <v>78.682388489895914</v>
      </c>
      <c r="BK45" s="64">
        <f t="shared" si="17"/>
        <v>83.574839819858511</v>
      </c>
      <c r="BL45" s="64">
        <f t="shared" si="17"/>
        <v>88.455917384877324</v>
      </c>
      <c r="BM45" s="64">
        <f t="shared" si="17"/>
        <v>93.325524793153846</v>
      </c>
      <c r="BN45" s="64">
        <f t="shared" si="17"/>
        <v>98.183564953010361</v>
      </c>
      <c r="BO45" s="64">
        <f t="shared" si="17"/>
        <v>103.029940067684</v>
      </c>
      <c r="BP45" s="64">
        <f t="shared" si="17"/>
        <v>107.86455163007554</v>
      </c>
      <c r="BQ45" s="64">
        <f t="shared" si="17"/>
        <v>112.6873004174636</v>
      </c>
      <c r="BR45" s="64">
        <f t="shared" si="17"/>
        <v>117.49808648617646</v>
      </c>
      <c r="BS45" s="64">
        <f t="shared" si="17"/>
        <v>122.29680916622829</v>
      </c>
      <c r="BT45" s="64">
        <f t="shared" ref="BT45:DB45" si="18">BT41</f>
        <v>127.08336705591066</v>
      </c>
      <c r="BU45" s="64">
        <f t="shared" si="18"/>
        <v>131.85765801634801</v>
      </c>
      <c r="BV45" s="64">
        <f t="shared" si="18"/>
        <v>136.61957916601224</v>
      </c>
      <c r="BW45" s="64">
        <f t="shared" si="18"/>
        <v>141.36902687519319</v>
      </c>
      <c r="BX45" s="64">
        <f t="shared" si="18"/>
        <v>146.10589676043233</v>
      </c>
      <c r="BY45" s="64">
        <f t="shared" si="18"/>
        <v>150.83008367891392</v>
      </c>
      <c r="BZ45" s="64">
        <f t="shared" si="18"/>
        <v>155.54148172281265</v>
      </c>
      <c r="CA45" s="64">
        <f t="shared" si="18"/>
        <v>160.23998421360221</v>
      </c>
      <c r="CB45" s="64">
        <f t="shared" si="18"/>
        <v>157.20427269272841</v>
      </c>
      <c r="CC45" s="64">
        <f t="shared" si="18"/>
        <v>154.15544992660705</v>
      </c>
      <c r="CD45" s="64">
        <f t="shared" si="18"/>
        <v>151.09340689002636</v>
      </c>
      <c r="CE45" s="64">
        <f t="shared" si="18"/>
        <v>148.01803376387949</v>
      </c>
      <c r="CF45" s="64">
        <f t="shared" si="18"/>
        <v>144.92921992925392</v>
      </c>
      <c r="CG45" s="64">
        <f t="shared" si="18"/>
        <v>141.82685396148219</v>
      </c>
      <c r="CH45" s="64">
        <f t="shared" si="18"/>
        <v>138.71082362414825</v>
      </c>
      <c r="CI45" s="64">
        <f t="shared" si="18"/>
        <v>135.58101586304576</v>
      </c>
      <c r="CJ45" s="64">
        <f t="shared" si="18"/>
        <v>132.43731680009606</v>
      </c>
      <c r="CK45" s="64">
        <f t="shared" si="18"/>
        <v>129.27961172721831</v>
      </c>
      <c r="CL45" s="64">
        <f t="shared" si="18"/>
        <v>126.10778510015638</v>
      </c>
      <c r="CM45" s="64">
        <f t="shared" si="18"/>
        <v>122.92172053225579</v>
      </c>
      <c r="CN45" s="64">
        <f t="shared" si="18"/>
        <v>119.7213007881989</v>
      </c>
      <c r="CO45" s="64">
        <f t="shared" si="18"/>
        <v>116.50640777769271</v>
      </c>
      <c r="CP45" s="64">
        <f t="shared" si="18"/>
        <v>113.27692254910852</v>
      </c>
      <c r="CQ45" s="64">
        <f t="shared" si="18"/>
        <v>110.03272528307517</v>
      </c>
      <c r="CR45" s="64">
        <f t="shared" si="18"/>
        <v>106.77369528602389</v>
      </c>
      <c r="CS45" s="64">
        <f t="shared" si="18"/>
        <v>103.49971098368763</v>
      </c>
      <c r="CT45" s="64">
        <f t="shared" si="18"/>
        <v>100.21064991454949</v>
      </c>
      <c r="CU45" s="64">
        <f t="shared" si="18"/>
        <v>96.906388723245101</v>
      </c>
      <c r="CV45" s="64">
        <f t="shared" si="18"/>
        <v>93.586803153912967</v>
      </c>
      <c r="CW45" s="64">
        <f t="shared" si="18"/>
        <v>90.251768043499027</v>
      </c>
      <c r="CX45" s="64">
        <f t="shared" si="18"/>
        <v>86.901157315009101</v>
      </c>
      <c r="CY45" s="64">
        <f t="shared" si="18"/>
        <v>83.534843970711563</v>
      </c>
      <c r="CZ45" s="64">
        <f t="shared" si="18"/>
        <v>80.152700085292167</v>
      </c>
      <c r="DA45" s="64">
        <f t="shared" si="18"/>
        <v>76.754596798953116</v>
      </c>
      <c r="DB45" s="64">
        <f t="shared" si="18"/>
        <v>73.340404310467022</v>
      </c>
    </row>
    <row r="46" spans="1:106" x14ac:dyDescent="0.45">
      <c r="A46" t="s">
        <v>312</v>
      </c>
      <c r="G46">
        <f>G31</f>
        <v>534.375</v>
      </c>
      <c r="H46">
        <f t="shared" ref="H46:BS46" si="19">H31</f>
        <v>534.375</v>
      </c>
      <c r="I46">
        <f t="shared" si="19"/>
        <v>534.375</v>
      </c>
      <c r="J46">
        <f t="shared" si="19"/>
        <v>534.375</v>
      </c>
      <c r="K46">
        <f t="shared" si="19"/>
        <v>534.375</v>
      </c>
      <c r="L46">
        <f t="shared" si="19"/>
        <v>534.375</v>
      </c>
      <c r="M46">
        <f t="shared" si="19"/>
        <v>534.375</v>
      </c>
      <c r="N46">
        <f t="shared" si="19"/>
        <v>534.375</v>
      </c>
      <c r="O46">
        <f t="shared" si="19"/>
        <v>534.375</v>
      </c>
      <c r="P46">
        <f t="shared" si="19"/>
        <v>534.375</v>
      </c>
      <c r="Q46">
        <f t="shared" si="19"/>
        <v>534.375</v>
      </c>
      <c r="R46">
        <f t="shared" si="19"/>
        <v>534.375</v>
      </c>
      <c r="S46">
        <f t="shared" si="19"/>
        <v>534.375</v>
      </c>
      <c r="T46">
        <f t="shared" si="19"/>
        <v>534.375</v>
      </c>
      <c r="U46">
        <f t="shared" si="19"/>
        <v>534.375</v>
      </c>
      <c r="V46">
        <f t="shared" si="19"/>
        <v>534.375</v>
      </c>
      <c r="W46">
        <f t="shared" si="19"/>
        <v>534.375</v>
      </c>
      <c r="X46">
        <f t="shared" si="19"/>
        <v>534.375</v>
      </c>
      <c r="Y46">
        <f t="shared" si="19"/>
        <v>534.375</v>
      </c>
      <c r="Z46">
        <f t="shared" si="19"/>
        <v>534.375</v>
      </c>
      <c r="AA46">
        <f t="shared" si="19"/>
        <v>534.375</v>
      </c>
      <c r="AB46">
        <f t="shared" si="19"/>
        <v>534.375</v>
      </c>
      <c r="AC46">
        <f t="shared" si="19"/>
        <v>534.375</v>
      </c>
      <c r="AD46">
        <f t="shared" si="19"/>
        <v>534.375</v>
      </c>
      <c r="AE46">
        <f t="shared" si="19"/>
        <v>534.375</v>
      </c>
      <c r="AF46">
        <f t="shared" si="19"/>
        <v>534.375</v>
      </c>
      <c r="AG46">
        <f t="shared" si="19"/>
        <v>534.375</v>
      </c>
      <c r="AH46">
        <f t="shared" si="19"/>
        <v>534.375</v>
      </c>
      <c r="AI46">
        <f t="shared" si="19"/>
        <v>534.375</v>
      </c>
      <c r="AJ46">
        <f t="shared" si="19"/>
        <v>534.375</v>
      </c>
      <c r="AK46">
        <f t="shared" si="19"/>
        <v>534.375</v>
      </c>
      <c r="AL46">
        <f t="shared" si="19"/>
        <v>534.375</v>
      </c>
      <c r="AM46">
        <f t="shared" si="19"/>
        <v>534.375</v>
      </c>
      <c r="AN46">
        <f t="shared" si="19"/>
        <v>534.375</v>
      </c>
      <c r="AO46">
        <f t="shared" si="19"/>
        <v>534.375</v>
      </c>
      <c r="AP46">
        <f t="shared" si="19"/>
        <v>534.375</v>
      </c>
      <c r="AQ46">
        <f t="shared" si="19"/>
        <v>534.375</v>
      </c>
      <c r="AR46">
        <f t="shared" si="19"/>
        <v>534.375</v>
      </c>
      <c r="AS46">
        <f t="shared" si="19"/>
        <v>534.375</v>
      </c>
      <c r="AT46">
        <f t="shared" si="19"/>
        <v>534.375</v>
      </c>
      <c r="AU46">
        <f t="shared" si="19"/>
        <v>534.375</v>
      </c>
      <c r="AV46">
        <f t="shared" si="19"/>
        <v>534.375</v>
      </c>
      <c r="AW46">
        <f t="shared" si="19"/>
        <v>534.375</v>
      </c>
      <c r="AX46">
        <f t="shared" si="19"/>
        <v>534.375</v>
      </c>
      <c r="AY46">
        <f t="shared" si="19"/>
        <v>534.375</v>
      </c>
      <c r="AZ46">
        <f t="shared" si="19"/>
        <v>534.375</v>
      </c>
      <c r="BA46">
        <f t="shared" si="19"/>
        <v>534.375</v>
      </c>
      <c r="BB46">
        <f t="shared" si="19"/>
        <v>534.375</v>
      </c>
      <c r="BC46">
        <f t="shared" si="19"/>
        <v>534.375</v>
      </c>
      <c r="BD46">
        <f t="shared" si="19"/>
        <v>534.375</v>
      </c>
      <c r="BE46">
        <f t="shared" si="19"/>
        <v>534.375</v>
      </c>
      <c r="BF46">
        <f t="shared" si="19"/>
        <v>534.375</v>
      </c>
      <c r="BG46">
        <f t="shared" si="19"/>
        <v>534.375</v>
      </c>
      <c r="BH46">
        <f t="shared" si="19"/>
        <v>534.375</v>
      </c>
      <c r="BI46">
        <f t="shared" si="19"/>
        <v>534.375</v>
      </c>
      <c r="BJ46">
        <f t="shared" si="19"/>
        <v>534.375</v>
      </c>
      <c r="BK46">
        <f t="shared" si="19"/>
        <v>534.375</v>
      </c>
      <c r="BL46">
        <f t="shared" si="19"/>
        <v>534.375</v>
      </c>
      <c r="BM46">
        <f t="shared" si="19"/>
        <v>534.375</v>
      </c>
      <c r="BN46">
        <f t="shared" si="19"/>
        <v>534.375</v>
      </c>
      <c r="BO46">
        <f t="shared" si="19"/>
        <v>534.375</v>
      </c>
      <c r="BP46">
        <f t="shared" si="19"/>
        <v>534.375</v>
      </c>
      <c r="BQ46">
        <f t="shared" si="19"/>
        <v>534.375</v>
      </c>
      <c r="BR46">
        <f t="shared" si="19"/>
        <v>534.375</v>
      </c>
      <c r="BS46">
        <f t="shared" si="19"/>
        <v>534.375</v>
      </c>
      <c r="BT46">
        <f t="shared" ref="BT46:DB46" si="20">BT31</f>
        <v>534.375</v>
      </c>
      <c r="BU46">
        <f t="shared" si="20"/>
        <v>534.375</v>
      </c>
      <c r="BV46">
        <f t="shared" si="20"/>
        <v>534.375</v>
      </c>
      <c r="BW46">
        <f t="shared" si="20"/>
        <v>534.375</v>
      </c>
      <c r="BX46">
        <f t="shared" si="20"/>
        <v>534.375</v>
      </c>
      <c r="BY46">
        <f t="shared" si="20"/>
        <v>534.375</v>
      </c>
      <c r="BZ46">
        <f t="shared" si="20"/>
        <v>534.375</v>
      </c>
      <c r="CA46">
        <f t="shared" si="20"/>
        <v>534.375</v>
      </c>
      <c r="CB46">
        <f t="shared" si="20"/>
        <v>534.375</v>
      </c>
      <c r="CC46">
        <f t="shared" si="20"/>
        <v>534.375</v>
      </c>
      <c r="CD46">
        <f t="shared" si="20"/>
        <v>534.375</v>
      </c>
      <c r="CE46">
        <f t="shared" si="20"/>
        <v>534.375</v>
      </c>
      <c r="CF46">
        <f t="shared" si="20"/>
        <v>534.375</v>
      </c>
      <c r="CG46">
        <f t="shared" si="20"/>
        <v>534.375</v>
      </c>
      <c r="CH46">
        <f t="shared" si="20"/>
        <v>534.375</v>
      </c>
      <c r="CI46">
        <f t="shared" si="20"/>
        <v>534.375</v>
      </c>
      <c r="CJ46">
        <f t="shared" si="20"/>
        <v>534.375</v>
      </c>
      <c r="CK46">
        <f t="shared" si="20"/>
        <v>534.375</v>
      </c>
      <c r="CL46">
        <f t="shared" si="20"/>
        <v>534.375</v>
      </c>
      <c r="CM46">
        <f t="shared" si="20"/>
        <v>534.375</v>
      </c>
      <c r="CN46">
        <f t="shared" si="20"/>
        <v>534.375</v>
      </c>
      <c r="CO46">
        <f t="shared" si="20"/>
        <v>534.375</v>
      </c>
      <c r="CP46">
        <f t="shared" si="20"/>
        <v>534.375</v>
      </c>
      <c r="CQ46">
        <f t="shared" si="20"/>
        <v>534.375</v>
      </c>
      <c r="CR46">
        <f t="shared" si="20"/>
        <v>534.375</v>
      </c>
      <c r="CS46">
        <f t="shared" si="20"/>
        <v>534.375</v>
      </c>
      <c r="CT46">
        <f t="shared" si="20"/>
        <v>534.375</v>
      </c>
      <c r="CU46">
        <f t="shared" si="20"/>
        <v>534.375</v>
      </c>
      <c r="CV46">
        <f t="shared" si="20"/>
        <v>534.375</v>
      </c>
      <c r="CW46">
        <f t="shared" si="20"/>
        <v>534.375</v>
      </c>
      <c r="CX46">
        <f t="shared" si="20"/>
        <v>534.375</v>
      </c>
      <c r="CY46">
        <f t="shared" si="20"/>
        <v>534.375</v>
      </c>
      <c r="CZ46">
        <f t="shared" si="20"/>
        <v>534.375</v>
      </c>
      <c r="DA46">
        <f t="shared" si="20"/>
        <v>534.375</v>
      </c>
      <c r="DB46">
        <f t="shared" si="20"/>
        <v>534.375</v>
      </c>
    </row>
    <row r="47" spans="1:106" x14ac:dyDescent="0.45">
      <c r="A47" t="s">
        <v>313</v>
      </c>
      <c r="G47">
        <f>'Debt Schedule'!G15</f>
        <v>437.49999999999989</v>
      </c>
      <c r="H47">
        <f>'Debt Schedule'!H15</f>
        <v>437.49999999999989</v>
      </c>
      <c r="I47">
        <f>'Debt Schedule'!I15</f>
        <v>437.49999999999989</v>
      </c>
      <c r="J47">
        <f>'Debt Schedule'!J15</f>
        <v>437.49999999999989</v>
      </c>
      <c r="K47">
        <f>'Debt Schedule'!K15</f>
        <v>437.49999999999989</v>
      </c>
      <c r="L47">
        <f>'Debt Schedule'!L15</f>
        <v>437.49999999999989</v>
      </c>
      <c r="M47">
        <f>'Debt Schedule'!M15</f>
        <v>437.49999999999989</v>
      </c>
      <c r="N47">
        <f>'Debt Schedule'!N15</f>
        <v>437.49999999999989</v>
      </c>
      <c r="O47">
        <f>'Debt Schedule'!O15</f>
        <v>437.49999999999989</v>
      </c>
      <c r="P47">
        <f>'Debt Schedule'!P15</f>
        <v>437.49999999999989</v>
      </c>
      <c r="Q47">
        <f>'Debt Schedule'!Q15</f>
        <v>437.49999999999989</v>
      </c>
      <c r="R47">
        <f>'Debt Schedule'!R15</f>
        <v>437.49999999999989</v>
      </c>
      <c r="S47">
        <f>'Debt Schedule'!S15</f>
        <v>437.49999999999989</v>
      </c>
      <c r="T47">
        <f>'Debt Schedule'!T15</f>
        <v>437.49999999999989</v>
      </c>
      <c r="U47">
        <f>'Debt Schedule'!U15</f>
        <v>437.49999999999989</v>
      </c>
      <c r="V47">
        <f>'Debt Schedule'!V15</f>
        <v>437.49999999999989</v>
      </c>
      <c r="W47">
        <f>'Debt Schedule'!W15</f>
        <v>437.49999999999989</v>
      </c>
      <c r="X47">
        <f>'Debt Schedule'!X15</f>
        <v>437.49999999999989</v>
      </c>
      <c r="Y47">
        <f>'Debt Schedule'!Y15</f>
        <v>437.49999999999989</v>
      </c>
      <c r="Z47">
        <f>'Debt Schedule'!Z15</f>
        <v>437.49999999999989</v>
      </c>
      <c r="AA47">
        <f>'Debt Schedule'!AA15</f>
        <v>437.49999999999989</v>
      </c>
      <c r="AB47">
        <f>'Debt Schedule'!AB15</f>
        <v>437.49999999999989</v>
      </c>
      <c r="AC47">
        <f>'Debt Schedule'!AC15</f>
        <v>437.49999999999989</v>
      </c>
      <c r="AD47">
        <f>'Debt Schedule'!AD15</f>
        <v>437.49999999999989</v>
      </c>
      <c r="AE47">
        <f>'Debt Schedule'!AE15</f>
        <v>437.49999999999989</v>
      </c>
      <c r="AF47">
        <f>'Debt Schedule'!AF15</f>
        <v>437.49999999999989</v>
      </c>
      <c r="AG47">
        <f>'Debt Schedule'!AG15</f>
        <v>437.49999999999989</v>
      </c>
      <c r="AH47">
        <f>'Debt Schedule'!AH15</f>
        <v>437.49999999999989</v>
      </c>
      <c r="AI47">
        <f>'Debt Schedule'!AI15</f>
        <v>437.49999999999989</v>
      </c>
      <c r="AJ47">
        <f>'Debt Schedule'!AJ15</f>
        <v>437.49999999999989</v>
      </c>
      <c r="AK47">
        <f>'Debt Schedule'!AK15</f>
        <v>437.49999999999989</v>
      </c>
      <c r="AL47">
        <f>'Debt Schedule'!AL15</f>
        <v>437.49999999999989</v>
      </c>
      <c r="AM47">
        <f>'Debt Schedule'!AM15</f>
        <v>437.49999999999989</v>
      </c>
      <c r="AN47">
        <f>'Debt Schedule'!AN15</f>
        <v>437.49999999999989</v>
      </c>
      <c r="AO47">
        <f>'Debt Schedule'!AO15</f>
        <v>437.49999999999989</v>
      </c>
      <c r="AP47">
        <f>'Debt Schedule'!AP15</f>
        <v>437.49999999999989</v>
      </c>
      <c r="AQ47">
        <f>'Debt Schedule'!AQ15</f>
        <v>437.49999999999989</v>
      </c>
      <c r="AR47">
        <f>'Debt Schedule'!AR15</f>
        <v>437.49999999999989</v>
      </c>
      <c r="AS47">
        <f>'Debt Schedule'!AS15</f>
        <v>437.49999999999989</v>
      </c>
      <c r="AT47">
        <f>'Debt Schedule'!AT15</f>
        <v>437.49999999999989</v>
      </c>
      <c r="AU47">
        <f>'Debt Schedule'!AU15</f>
        <v>437.49999999999989</v>
      </c>
      <c r="AV47">
        <f>'Debt Schedule'!AV15</f>
        <v>437.49999999999989</v>
      </c>
      <c r="AW47">
        <f>'Debt Schedule'!AW15</f>
        <v>437.49999999999989</v>
      </c>
      <c r="AX47">
        <f>'Debt Schedule'!AX15</f>
        <v>437.49999999999989</v>
      </c>
      <c r="AY47">
        <f>'Debt Schedule'!AY15</f>
        <v>437.49999999999989</v>
      </c>
      <c r="AZ47">
        <f>'Debt Schedule'!AZ15</f>
        <v>437.49999999999989</v>
      </c>
      <c r="BA47">
        <f>'Debt Schedule'!BA15</f>
        <v>437.49999999999989</v>
      </c>
      <c r="BB47">
        <f>'Debt Schedule'!BB15</f>
        <v>437.49999999999989</v>
      </c>
      <c r="BC47">
        <f>'Debt Schedule'!BC15</f>
        <v>437.49999999999989</v>
      </c>
      <c r="BD47">
        <f>'Debt Schedule'!BD15</f>
        <v>437.49999999999989</v>
      </c>
      <c r="BE47">
        <f>'Debt Schedule'!BE15</f>
        <v>437.49999999999989</v>
      </c>
      <c r="BF47">
        <f>'Debt Schedule'!BF15</f>
        <v>437.49999999999989</v>
      </c>
      <c r="BG47">
        <f>'Debt Schedule'!BG15</f>
        <v>437.49999999999989</v>
      </c>
      <c r="BH47">
        <f>'Debt Schedule'!BH15</f>
        <v>437.49999999999989</v>
      </c>
      <c r="BI47">
        <f>'Debt Schedule'!BI15</f>
        <v>437.49999999999989</v>
      </c>
      <c r="BJ47">
        <f>'Debt Schedule'!BJ15</f>
        <v>437.49999999999989</v>
      </c>
      <c r="BK47">
        <f>'Debt Schedule'!BK15</f>
        <v>437.49999999999989</v>
      </c>
      <c r="BL47">
        <f>'Debt Schedule'!BL15</f>
        <v>437.49999999999989</v>
      </c>
      <c r="BM47">
        <f>'Debt Schedule'!BM15</f>
        <v>437.49999999999989</v>
      </c>
      <c r="BN47">
        <f>'Debt Schedule'!BN15</f>
        <v>437.49999999999989</v>
      </c>
      <c r="BO47">
        <f>'Debt Schedule'!BO15</f>
        <v>437.49999999999989</v>
      </c>
      <c r="BP47">
        <f>'Debt Schedule'!BP15</f>
        <v>437.49999999999989</v>
      </c>
      <c r="BQ47">
        <f>'Debt Schedule'!BQ15</f>
        <v>437.49999999999989</v>
      </c>
      <c r="BR47">
        <f>'Debt Schedule'!BR15</f>
        <v>437.49999999999989</v>
      </c>
      <c r="BS47">
        <f>'Debt Schedule'!BS15</f>
        <v>437.49999999999989</v>
      </c>
      <c r="BT47">
        <f>'Debt Schedule'!BT15</f>
        <v>437.49999999999989</v>
      </c>
      <c r="BU47">
        <f>'Debt Schedule'!BU15</f>
        <v>437.49999999999989</v>
      </c>
      <c r="BV47">
        <f>'Debt Schedule'!BV15</f>
        <v>437.49999999999989</v>
      </c>
      <c r="BW47">
        <f>'Debt Schedule'!BW15</f>
        <v>437.49999999999989</v>
      </c>
      <c r="BX47">
        <f>'Debt Schedule'!BX15</f>
        <v>437.49999999999989</v>
      </c>
      <c r="BY47">
        <f>'Debt Schedule'!BY15</f>
        <v>437.49999999999989</v>
      </c>
      <c r="BZ47">
        <f>'Debt Schedule'!BZ15</f>
        <v>437.49999999999989</v>
      </c>
      <c r="CA47">
        <f>'Debt Schedule'!CA15</f>
        <v>0</v>
      </c>
      <c r="CB47">
        <f>'Debt Schedule'!CB15</f>
        <v>0</v>
      </c>
      <c r="CC47">
        <f>'Debt Schedule'!CC15</f>
        <v>0</v>
      </c>
      <c r="CD47">
        <f>'Debt Schedule'!CD15</f>
        <v>0</v>
      </c>
      <c r="CE47">
        <f>'Debt Schedule'!CE15</f>
        <v>0</v>
      </c>
      <c r="CF47">
        <f>'Debt Schedule'!CF15</f>
        <v>0</v>
      </c>
      <c r="CG47">
        <f>'Debt Schedule'!CG15</f>
        <v>0</v>
      </c>
      <c r="CH47">
        <f>'Debt Schedule'!CH15</f>
        <v>0</v>
      </c>
      <c r="CI47">
        <f>'Debt Schedule'!CI15</f>
        <v>0</v>
      </c>
      <c r="CJ47">
        <f>'Debt Schedule'!CJ15</f>
        <v>0</v>
      </c>
      <c r="CK47">
        <f>'Debt Schedule'!CK15</f>
        <v>0</v>
      </c>
      <c r="CL47">
        <f>'Debt Schedule'!CL15</f>
        <v>0</v>
      </c>
      <c r="CM47">
        <f>'Debt Schedule'!CM15</f>
        <v>0</v>
      </c>
      <c r="CN47">
        <f>'Debt Schedule'!CN15</f>
        <v>0</v>
      </c>
      <c r="CO47">
        <f>'Debt Schedule'!CO15</f>
        <v>0</v>
      </c>
      <c r="CP47">
        <f>'Debt Schedule'!CP15</f>
        <v>0</v>
      </c>
      <c r="CQ47">
        <f>'Debt Schedule'!CQ15</f>
        <v>0</v>
      </c>
      <c r="CR47">
        <f>'Debt Schedule'!CR15</f>
        <v>0</v>
      </c>
      <c r="CS47">
        <f>'Debt Schedule'!CS15</f>
        <v>0</v>
      </c>
      <c r="CT47">
        <f>'Debt Schedule'!CT15</f>
        <v>0</v>
      </c>
      <c r="CU47">
        <f>'Debt Schedule'!CU15</f>
        <v>0</v>
      </c>
      <c r="CV47">
        <f>'Debt Schedule'!CV15</f>
        <v>0</v>
      </c>
      <c r="CW47">
        <f>'Debt Schedule'!CW15</f>
        <v>0</v>
      </c>
      <c r="CX47">
        <f>'Debt Schedule'!CX15</f>
        <v>0</v>
      </c>
      <c r="CY47">
        <f>'Debt Schedule'!CY15</f>
        <v>0</v>
      </c>
      <c r="CZ47">
        <f>'Debt Schedule'!CZ15</f>
        <v>0</v>
      </c>
      <c r="DA47">
        <f>'Debt Schedule'!DA15</f>
        <v>0</v>
      </c>
      <c r="DB47">
        <f>'Debt Schedule'!DB15</f>
        <v>0</v>
      </c>
    </row>
    <row r="48" spans="1:106" x14ac:dyDescent="0.45">
      <c r="A48" t="s">
        <v>314</v>
      </c>
      <c r="G48" s="64">
        <f>G45+G46-G47</f>
        <v>-176.95203709479688</v>
      </c>
      <c r="H48" s="64">
        <f t="shared" ref="H48:BS48" si="21">H45+H46-H47</f>
        <v>-169.76801990115848</v>
      </c>
      <c r="I48" s="64">
        <f t="shared" si="21"/>
        <v>-162.59335288741511</v>
      </c>
      <c r="J48" s="64">
        <f t="shared" si="21"/>
        <v>-155.42812259155278</v>
      </c>
      <c r="K48" s="64">
        <f t="shared" si="21"/>
        <v>-148.27241617189145</v>
      </c>
      <c r="L48" s="64">
        <f t="shared" si="21"/>
        <v>-141.12632141171468</v>
      </c>
      <c r="M48" s="64">
        <f t="shared" si="21"/>
        <v>-133.98992672393013</v>
      </c>
      <c r="N48" s="64">
        <f t="shared" si="21"/>
        <v>-126.86332115576658</v>
      </c>
      <c r="O48" s="64">
        <f t="shared" si="21"/>
        <v>-119.74659439350478</v>
      </c>
      <c r="P48" s="64">
        <f t="shared" si="21"/>
        <v>-112.63983676724843</v>
      </c>
      <c r="Q48" s="64">
        <f t="shared" si="21"/>
        <v>-105.54313925572023</v>
      </c>
      <c r="R48" s="64">
        <f t="shared" si="21"/>
        <v>-98.456593491103149</v>
      </c>
      <c r="S48" s="64">
        <f t="shared" si="21"/>
        <v>-91.380291763914556</v>
      </c>
      <c r="T48" s="64">
        <f t="shared" si="21"/>
        <v>-84.314327027912213</v>
      </c>
      <c r="U48" s="64">
        <f t="shared" si="21"/>
        <v>-77.258792905044288</v>
      </c>
      <c r="V48" s="64">
        <f t="shared" si="21"/>
        <v>-70.213783690429295</v>
      </c>
      <c r="W48" s="64">
        <f t="shared" si="21"/>
        <v>-63.179394357375941</v>
      </c>
      <c r="X48" s="64">
        <f t="shared" si="21"/>
        <v>-56.155720562441616</v>
      </c>
      <c r="Y48" s="64">
        <f t="shared" si="21"/>
        <v>-49.142858650524886</v>
      </c>
      <c r="Z48" s="64">
        <f t="shared" si="21"/>
        <v>-42.140905659997088</v>
      </c>
      <c r="AA48" s="64">
        <f t="shared" si="21"/>
        <v>-35.14995932787474</v>
      </c>
      <c r="AB48" s="64">
        <f t="shared" si="21"/>
        <v>-28.170118095025259</v>
      </c>
      <c r="AC48" s="64">
        <f t="shared" si="21"/>
        <v>-21.201481111414978</v>
      </c>
      <c r="AD48" s="64">
        <f t="shared" si="21"/>
        <v>-14.244148241395919</v>
      </c>
      <c r="AE48" s="64">
        <f t="shared" si="21"/>
        <v>-7.298220069027991</v>
      </c>
      <c r="AF48" s="64">
        <f t="shared" si="21"/>
        <v>-0.36379790344693674</v>
      </c>
      <c r="AG48" s="62">
        <f t="shared" si="21"/>
        <v>6.5590162157347436</v>
      </c>
      <c r="AH48" s="62">
        <f t="shared" si="21"/>
        <v>13.47011951298083</v>
      </c>
      <c r="AI48" s="62">
        <f t="shared" si="21"/>
        <v>20.369408471349061</v>
      </c>
      <c r="AJ48" s="62">
        <f t="shared" si="21"/>
        <v>27.256778826964251</v>
      </c>
      <c r="AK48" s="62">
        <f t="shared" si="21"/>
        <v>34.132125563453201</v>
      </c>
      <c r="AL48" s="62">
        <f t="shared" si="21"/>
        <v>40.9953429063371</v>
      </c>
      <c r="AM48" s="62">
        <f t="shared" si="21"/>
        <v>47.846324317380493</v>
      </c>
      <c r="AN48" s="62">
        <f t="shared" si="21"/>
        <v>54.684962488905228</v>
      </c>
      <c r="AO48" s="62">
        <f t="shared" si="21"/>
        <v>61.511149338051553</v>
      </c>
      <c r="AP48" s="62">
        <f t="shared" si="21"/>
        <v>68.324776001007251</v>
      </c>
      <c r="AQ48" s="62">
        <f t="shared" si="21"/>
        <v>75.12573282718688</v>
      </c>
      <c r="AR48" s="62">
        <f t="shared" si="21"/>
        <v>81.913909373370871</v>
      </c>
      <c r="AS48" s="62">
        <f t="shared" si="21"/>
        <v>88.68919439780052</v>
      </c>
      <c r="AT48" s="62">
        <f t="shared" si="21"/>
        <v>95.451475854230807</v>
      </c>
      <c r="AU48" s="62">
        <f t="shared" si="21"/>
        <v>100.86923066445149</v>
      </c>
      <c r="AV48" s="62">
        <f t="shared" si="21"/>
        <v>105.92118186475295</v>
      </c>
      <c r="AW48" s="62">
        <f t="shared" si="21"/>
        <v>110.96312461969455</v>
      </c>
      <c r="AX48" s="62">
        <f t="shared" si="21"/>
        <v>115.99497243584995</v>
      </c>
      <c r="AY48" s="62">
        <f t="shared" si="21"/>
        <v>121.01663819361784</v>
      </c>
      <c r="AZ48" s="62">
        <f t="shared" si="21"/>
        <v>126.02803414255959</v>
      </c>
      <c r="BA48" s="62">
        <f t="shared" si="21"/>
        <v>131.02907189670088</v>
      </c>
      <c r="BB48" s="62">
        <f t="shared" si="21"/>
        <v>136.01966242979825</v>
      </c>
      <c r="BC48" s="62">
        <f t="shared" si="21"/>
        <v>140.99971607057114</v>
      </c>
      <c r="BD48" s="62">
        <f t="shared" si="21"/>
        <v>145.96914249789916</v>
      </c>
      <c r="BE48" s="62">
        <f t="shared" si="21"/>
        <v>150.92785073598213</v>
      </c>
      <c r="BF48" s="62">
        <f t="shared" si="21"/>
        <v>155.87574914946708</v>
      </c>
      <c r="BG48" s="62">
        <f t="shared" si="21"/>
        <v>160.81274543853294</v>
      </c>
      <c r="BH48" s="62">
        <f t="shared" si="21"/>
        <v>165.73874663394884</v>
      </c>
      <c r="BI48" s="62">
        <f t="shared" si="21"/>
        <v>170.65365909208549</v>
      </c>
      <c r="BJ48" s="62">
        <f t="shared" si="21"/>
        <v>175.55738848989597</v>
      </c>
      <c r="BK48" s="62">
        <f t="shared" si="21"/>
        <v>180.44983981985865</v>
      </c>
      <c r="BL48" s="62">
        <f t="shared" si="21"/>
        <v>185.33091738487747</v>
      </c>
      <c r="BM48" s="62">
        <f t="shared" si="21"/>
        <v>190.20052479315393</v>
      </c>
      <c r="BN48" s="62">
        <f t="shared" si="21"/>
        <v>195.05856495301043</v>
      </c>
      <c r="BO48" s="62">
        <f t="shared" si="21"/>
        <v>199.90494006768415</v>
      </c>
      <c r="BP48" s="62">
        <f t="shared" si="21"/>
        <v>204.73955163007565</v>
      </c>
      <c r="BQ48" s="62">
        <f t="shared" si="21"/>
        <v>209.56230041746369</v>
      </c>
      <c r="BR48" s="62">
        <f t="shared" si="21"/>
        <v>214.37308648617659</v>
      </c>
      <c r="BS48" s="62">
        <f t="shared" si="21"/>
        <v>219.1718091662284</v>
      </c>
      <c r="BT48" s="62">
        <f t="shared" ref="BT48:DB48" si="22">BT45+BT46-BT47</f>
        <v>223.9583670559108</v>
      </c>
      <c r="BU48" s="62">
        <f t="shared" si="22"/>
        <v>228.73265801634818</v>
      </c>
      <c r="BV48" s="62">
        <f t="shared" si="22"/>
        <v>233.49457916601239</v>
      </c>
      <c r="BW48" s="62">
        <f t="shared" si="22"/>
        <v>238.2440268751933</v>
      </c>
      <c r="BX48" s="62">
        <f t="shared" si="22"/>
        <v>242.98089676043242</v>
      </c>
      <c r="BY48" s="62">
        <f t="shared" si="22"/>
        <v>247.70508367891409</v>
      </c>
      <c r="BZ48" s="62">
        <f t="shared" si="22"/>
        <v>252.41648172281282</v>
      </c>
      <c r="CA48" s="62">
        <f t="shared" si="22"/>
        <v>694.61498421360216</v>
      </c>
      <c r="CB48" s="62">
        <f t="shared" si="22"/>
        <v>691.57927269272841</v>
      </c>
      <c r="CC48" s="62">
        <f t="shared" si="22"/>
        <v>688.53044992660705</v>
      </c>
      <c r="CD48" s="62">
        <f t="shared" si="22"/>
        <v>685.46840689002636</v>
      </c>
      <c r="CE48" s="62">
        <f t="shared" si="22"/>
        <v>682.39303376387943</v>
      </c>
      <c r="CF48" s="62">
        <f t="shared" si="22"/>
        <v>679.30421992925392</v>
      </c>
      <c r="CG48" s="62">
        <f t="shared" si="22"/>
        <v>676.20185396148213</v>
      </c>
      <c r="CH48" s="62">
        <f t="shared" si="22"/>
        <v>673.08582362414825</v>
      </c>
      <c r="CI48" s="62">
        <f t="shared" si="22"/>
        <v>669.95601586304576</v>
      </c>
      <c r="CJ48" s="62">
        <f t="shared" si="22"/>
        <v>666.81231680009603</v>
      </c>
      <c r="CK48" s="62">
        <f t="shared" si="22"/>
        <v>663.65461172721825</v>
      </c>
      <c r="CL48" s="62">
        <f t="shared" si="22"/>
        <v>660.48278510015643</v>
      </c>
      <c r="CM48" s="62">
        <f t="shared" si="22"/>
        <v>657.29672053225579</v>
      </c>
      <c r="CN48" s="62">
        <f t="shared" si="22"/>
        <v>654.09630078819896</v>
      </c>
      <c r="CO48" s="62">
        <f t="shared" si="22"/>
        <v>650.88140777769274</v>
      </c>
      <c r="CP48" s="62">
        <f t="shared" si="22"/>
        <v>647.65192254910858</v>
      </c>
      <c r="CQ48" s="62">
        <f t="shared" si="22"/>
        <v>644.40772528307514</v>
      </c>
      <c r="CR48" s="62">
        <f t="shared" si="22"/>
        <v>641.14869528602389</v>
      </c>
      <c r="CS48" s="62">
        <f t="shared" si="22"/>
        <v>637.87471098368769</v>
      </c>
      <c r="CT48" s="62">
        <f t="shared" si="22"/>
        <v>634.58564991454955</v>
      </c>
      <c r="CU48" s="62">
        <f t="shared" si="22"/>
        <v>631.28138872324507</v>
      </c>
      <c r="CV48" s="62">
        <f t="shared" si="22"/>
        <v>627.96180315391302</v>
      </c>
      <c r="CW48" s="62">
        <f t="shared" si="22"/>
        <v>624.62676804349906</v>
      </c>
      <c r="CX48" s="62">
        <f t="shared" si="22"/>
        <v>621.27615731500907</v>
      </c>
      <c r="CY48" s="62">
        <f t="shared" si="22"/>
        <v>617.90984397071156</v>
      </c>
      <c r="CZ48" s="62">
        <f t="shared" si="22"/>
        <v>614.52770008529217</v>
      </c>
      <c r="DA48" s="62">
        <f t="shared" si="22"/>
        <v>611.12959679895312</v>
      </c>
      <c r="DB48" s="62">
        <f t="shared" si="22"/>
        <v>607.71540431046697</v>
      </c>
    </row>
  </sheetData>
  <mergeCells count="5">
    <mergeCell ref="A1:DB1"/>
    <mergeCell ref="A23:DB23"/>
    <mergeCell ref="A3:DB3"/>
    <mergeCell ref="A15:DB15"/>
    <mergeCell ref="A7:DB7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G22" sqref="G22"/>
    </sheetView>
  </sheetViews>
  <sheetFormatPr defaultRowHeight="14.25" x14ac:dyDescent="0.45"/>
  <cols>
    <col min="1" max="1" width="32" customWidth="1"/>
    <col min="2" max="2" width="12" customWidth="1"/>
    <col min="3" max="106" width="11" customWidth="1"/>
  </cols>
  <sheetData>
    <row r="1" spans="1:106" ht="28.05" customHeight="1" x14ac:dyDescent="0.45">
      <c r="A1" s="60" t="s">
        <v>194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</row>
    <row r="2" spans="1:106" x14ac:dyDescent="0.45">
      <c r="A2" s="21" t="s">
        <v>68</v>
      </c>
      <c r="B2" s="21" t="s">
        <v>69</v>
      </c>
      <c r="C2" s="22" t="s">
        <v>70</v>
      </c>
      <c r="D2" s="22" t="s">
        <v>71</v>
      </c>
      <c r="E2" s="22" t="s">
        <v>72</v>
      </c>
      <c r="F2" s="22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23" t="s">
        <v>78</v>
      </c>
      <c r="L2" s="23" t="s">
        <v>79</v>
      </c>
      <c r="M2" s="23" t="s">
        <v>80</v>
      </c>
      <c r="N2" s="23" t="s">
        <v>81</v>
      </c>
      <c r="O2" s="23" t="s">
        <v>82</v>
      </c>
      <c r="P2" s="23" t="s">
        <v>83</v>
      </c>
      <c r="Q2" s="23" t="s">
        <v>84</v>
      </c>
      <c r="R2" s="23" t="s">
        <v>85</v>
      </c>
      <c r="S2" s="23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3" t="s">
        <v>91</v>
      </c>
      <c r="Y2" s="23" t="s">
        <v>92</v>
      </c>
      <c r="Z2" s="23" t="s">
        <v>93</v>
      </c>
      <c r="AA2" s="23" t="s">
        <v>94</v>
      </c>
      <c r="AB2" s="23" t="s">
        <v>95</v>
      </c>
      <c r="AC2" s="23" t="s">
        <v>96</v>
      </c>
      <c r="AD2" s="23" t="s">
        <v>97</v>
      </c>
      <c r="AE2" s="23" t="s">
        <v>98</v>
      </c>
      <c r="AF2" s="23" t="s">
        <v>99</v>
      </c>
      <c r="AG2" s="23" t="s">
        <v>100</v>
      </c>
      <c r="AH2" s="23" t="s">
        <v>101</v>
      </c>
      <c r="AI2" s="23" t="s">
        <v>102</v>
      </c>
      <c r="AJ2" s="23" t="s">
        <v>103</v>
      </c>
      <c r="AK2" s="23" t="s">
        <v>104</v>
      </c>
      <c r="AL2" s="23" t="s">
        <v>105</v>
      </c>
      <c r="AM2" s="23" t="s">
        <v>106</v>
      </c>
      <c r="AN2" s="23" t="s">
        <v>107</v>
      </c>
      <c r="AO2" s="23" t="s">
        <v>108</v>
      </c>
      <c r="AP2" s="23" t="s">
        <v>109</v>
      </c>
      <c r="AQ2" s="23" t="s">
        <v>110</v>
      </c>
      <c r="AR2" s="23" t="s">
        <v>111</v>
      </c>
      <c r="AS2" s="23" t="s">
        <v>112</v>
      </c>
      <c r="AT2" s="23" t="s">
        <v>113</v>
      </c>
      <c r="AU2" s="23" t="s">
        <v>114</v>
      </c>
      <c r="AV2" s="23" t="s">
        <v>115</v>
      </c>
      <c r="AW2" s="23" t="s">
        <v>116</v>
      </c>
      <c r="AX2" s="23" t="s">
        <v>117</v>
      </c>
      <c r="AY2" s="23" t="s">
        <v>118</v>
      </c>
      <c r="AZ2" s="23" t="s">
        <v>119</v>
      </c>
      <c r="BA2" s="23" t="s">
        <v>120</v>
      </c>
      <c r="BB2" s="23" t="s">
        <v>121</v>
      </c>
      <c r="BC2" s="23" t="s">
        <v>122</v>
      </c>
      <c r="BD2" s="23" t="s">
        <v>123</v>
      </c>
      <c r="BE2" s="23" t="s">
        <v>124</v>
      </c>
      <c r="BF2" s="23" t="s">
        <v>125</v>
      </c>
      <c r="BG2" s="23" t="s">
        <v>126</v>
      </c>
      <c r="BH2" s="23" t="s">
        <v>127</v>
      </c>
      <c r="BI2" s="23" t="s">
        <v>128</v>
      </c>
      <c r="BJ2" s="23" t="s">
        <v>129</v>
      </c>
      <c r="BK2" s="23" t="s">
        <v>130</v>
      </c>
      <c r="BL2" s="23" t="s">
        <v>131</v>
      </c>
      <c r="BM2" s="23" t="s">
        <v>132</v>
      </c>
      <c r="BN2" s="23" t="s">
        <v>133</v>
      </c>
      <c r="BO2" s="23" t="s">
        <v>134</v>
      </c>
      <c r="BP2" s="23" t="s">
        <v>135</v>
      </c>
      <c r="BQ2" s="23" t="s">
        <v>136</v>
      </c>
      <c r="BR2" s="23" t="s">
        <v>137</v>
      </c>
      <c r="BS2" s="23" t="s">
        <v>138</v>
      </c>
      <c r="BT2" s="23" t="s">
        <v>139</v>
      </c>
      <c r="BU2" s="23" t="s">
        <v>140</v>
      </c>
      <c r="BV2" s="23" t="s">
        <v>141</v>
      </c>
      <c r="BW2" s="23" t="s">
        <v>142</v>
      </c>
      <c r="BX2" s="23" t="s">
        <v>143</v>
      </c>
      <c r="BY2" s="23" t="s">
        <v>144</v>
      </c>
      <c r="BZ2" s="23" t="s">
        <v>145</v>
      </c>
      <c r="CA2" s="23" t="s">
        <v>146</v>
      </c>
      <c r="CB2" s="23" t="s">
        <v>147</v>
      </c>
      <c r="CC2" s="23" t="s">
        <v>148</v>
      </c>
      <c r="CD2" s="23" t="s">
        <v>149</v>
      </c>
      <c r="CE2" s="23" t="s">
        <v>150</v>
      </c>
      <c r="CF2" s="23" t="s">
        <v>151</v>
      </c>
      <c r="CG2" s="23" t="s">
        <v>152</v>
      </c>
      <c r="CH2" s="23" t="s">
        <v>153</v>
      </c>
      <c r="CI2" s="23" t="s">
        <v>154</v>
      </c>
      <c r="CJ2" s="23" t="s">
        <v>155</v>
      </c>
      <c r="CK2" s="23" t="s">
        <v>156</v>
      </c>
      <c r="CL2" s="23" t="s">
        <v>157</v>
      </c>
      <c r="CM2" s="23" t="s">
        <v>158</v>
      </c>
      <c r="CN2" s="23" t="s">
        <v>159</v>
      </c>
      <c r="CO2" s="23" t="s">
        <v>160</v>
      </c>
      <c r="CP2" s="23" t="s">
        <v>161</v>
      </c>
      <c r="CQ2" s="23" t="s">
        <v>162</v>
      </c>
      <c r="CR2" s="23" t="s">
        <v>163</v>
      </c>
      <c r="CS2" s="23" t="s">
        <v>164</v>
      </c>
      <c r="CT2" s="23" t="s">
        <v>165</v>
      </c>
      <c r="CU2" s="23" t="s">
        <v>166</v>
      </c>
      <c r="CV2" s="23" t="s">
        <v>167</v>
      </c>
      <c r="CW2" s="23" t="s">
        <v>168</v>
      </c>
      <c r="CX2" s="23" t="s">
        <v>169</v>
      </c>
      <c r="CY2" s="23" t="s">
        <v>170</v>
      </c>
      <c r="CZ2" s="23" t="s">
        <v>171</v>
      </c>
      <c r="DA2" s="23" t="s">
        <v>172</v>
      </c>
      <c r="DB2" s="23" t="s">
        <v>173</v>
      </c>
    </row>
    <row r="3" spans="1:106" x14ac:dyDescent="0.45">
      <c r="A3" s="61" t="s">
        <v>195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</row>
    <row r="4" spans="1:106" x14ac:dyDescent="0.45">
      <c r="A4" s="27" t="s">
        <v>183</v>
      </c>
      <c r="B4" s="28" t="s">
        <v>18</v>
      </c>
      <c r="C4" s="33">
        <v>0</v>
      </c>
      <c r="D4" s="33">
        <v>0</v>
      </c>
      <c r="E4" s="33">
        <v>0</v>
      </c>
      <c r="F4" s="33">
        <v>0</v>
      </c>
      <c r="G4" s="33">
        <v>1001.78421925</v>
      </c>
      <c r="H4" s="33">
        <v>998.67328843884923</v>
      </c>
      <c r="I4" s="33">
        <v>995.55300744780402</v>
      </c>
      <c r="J4" s="33">
        <v>992.42328973887754</v>
      </c>
      <c r="K4" s="33">
        <v>989.28404815374995</v>
      </c>
      <c r="L4" s="33">
        <v>986.13519490913768</v>
      </c>
      <c r="M4" s="33">
        <v>982.97664159213355</v>
      </c>
      <c r="N4" s="33">
        <v>979.80829915550862</v>
      </c>
      <c r="O4" s="33">
        <v>976.63007791298128</v>
      </c>
      <c r="P4" s="33">
        <v>973.44188753444882</v>
      </c>
      <c r="Q4" s="33">
        <v>970.24363704118821</v>
      </c>
      <c r="R4" s="33">
        <v>967.03523480101637</v>
      </c>
      <c r="S4" s="33">
        <v>963.81658852341616</v>
      </c>
      <c r="T4" s="33">
        <v>960.58760525462969</v>
      </c>
      <c r="U4" s="33">
        <v>957.3481913727087</v>
      </c>
      <c r="V4" s="33">
        <v>954.09825258253488</v>
      </c>
      <c r="W4" s="33">
        <v>950.83769391079932</v>
      </c>
      <c r="X4" s="33">
        <v>947.56641970094483</v>
      </c>
      <c r="Y4" s="33">
        <v>944.28433360807264</v>
      </c>
      <c r="Z4" s="33">
        <v>940.99133859381163</v>
      </c>
      <c r="AA4" s="33">
        <v>937.68733692114517</v>
      </c>
      <c r="AB4" s="33">
        <v>934.37223014920585</v>
      </c>
      <c r="AC4" s="33">
        <v>931.04591912802721</v>
      </c>
      <c r="AD4" s="33">
        <v>927.70830399325746</v>
      </c>
      <c r="AE4" s="33">
        <v>924.35928416083652</v>
      </c>
      <c r="AF4" s="33">
        <v>920.99875832162877</v>
      </c>
      <c r="AG4" s="33">
        <v>917.62662443602153</v>
      </c>
      <c r="AH4" s="33">
        <v>914.24277972847892</v>
      </c>
      <c r="AI4" s="33">
        <v>910.84712068205818</v>
      </c>
      <c r="AJ4" s="33">
        <v>907.43954303288467</v>
      </c>
      <c r="AK4" s="33">
        <v>904.0199417645847</v>
      </c>
      <c r="AL4" s="33">
        <v>900.58821110267957</v>
      </c>
      <c r="AM4" s="33">
        <v>897.14424450893421</v>
      </c>
      <c r="AN4" s="33">
        <v>893.68793467567014</v>
      </c>
      <c r="AO4" s="33">
        <v>890.21917352002765</v>
      </c>
      <c r="AP4" s="33">
        <v>886.73785217819454</v>
      </c>
      <c r="AQ4" s="33">
        <v>883.24386099958519</v>
      </c>
      <c r="AR4" s="33">
        <v>879.73708954098026</v>
      </c>
      <c r="AS4" s="33">
        <v>876.21742656062122</v>
      </c>
      <c r="AT4" s="33">
        <v>872.6847600122627</v>
      </c>
      <c r="AU4" s="33">
        <v>869.13897703917814</v>
      </c>
      <c r="AV4" s="33">
        <v>865.57996396812428</v>
      </c>
      <c r="AW4" s="33">
        <v>862.00760630325794</v>
      </c>
      <c r="AX4" s="33">
        <v>858.42178872000966</v>
      </c>
      <c r="AY4" s="33">
        <v>854.82239505891107</v>
      </c>
      <c r="AZ4" s="33">
        <v>851.20930831937812</v>
      </c>
      <c r="BA4" s="33">
        <v>847.5824106534443</v>
      </c>
      <c r="BB4" s="33">
        <v>843.9415833594519</v>
      </c>
      <c r="BC4" s="33">
        <v>840.28670687569365</v>
      </c>
      <c r="BD4" s="33">
        <v>836.61766077400875</v>
      </c>
      <c r="BE4" s="33">
        <v>832.93432375333089</v>
      </c>
      <c r="BF4" s="33">
        <v>829.2365736331883</v>
      </c>
      <c r="BG4" s="33">
        <v>825.52428734715409</v>
      </c>
      <c r="BH4" s="33">
        <v>821.79734093625302</v>
      </c>
      <c r="BI4" s="33">
        <v>818.05560954231282</v>
      </c>
      <c r="BJ4" s="33">
        <v>814.29896740127151</v>
      </c>
      <c r="BK4" s="33">
        <v>810.52728783643272</v>
      </c>
      <c r="BL4" s="33">
        <v>806.74044325166915</v>
      </c>
      <c r="BM4" s="33">
        <v>802.93830512458226</v>
      </c>
      <c r="BN4" s="33">
        <v>799.12074399960215</v>
      </c>
      <c r="BO4" s="33">
        <v>795.28762948104486</v>
      </c>
      <c r="BP4" s="33">
        <v>791.43883022611135</v>
      </c>
      <c r="BQ4" s="33">
        <v>787.57421393783989</v>
      </c>
      <c r="BR4" s="33">
        <v>783.6936473580015</v>
      </c>
      <c r="BS4" s="33">
        <v>779.7969962599484</v>
      </c>
      <c r="BT4" s="33">
        <v>775.88412544140249</v>
      </c>
      <c r="BU4" s="33">
        <v>771.95489871719701</v>
      </c>
      <c r="BV4" s="33">
        <v>768.00917891196048</v>
      </c>
      <c r="BW4" s="33">
        <v>764.04682785274622</v>
      </c>
      <c r="BX4" s="33">
        <v>760.06770636160979</v>
      </c>
      <c r="BY4" s="33">
        <v>756.07167424812951</v>
      </c>
      <c r="BZ4" s="33">
        <v>752.0585903018723</v>
      </c>
      <c r="CA4" s="33">
        <v>748.02831228480306</v>
      </c>
      <c r="CB4" s="33">
        <v>743.98069692363811</v>
      </c>
      <c r="CC4" s="33">
        <v>739.9155999021425</v>
      </c>
      <c r="CD4" s="33">
        <v>735.83287585336871</v>
      </c>
      <c r="CE4" s="33">
        <v>731.73237835183943</v>
      </c>
      <c r="CF4" s="33">
        <v>727.61395990567189</v>
      </c>
      <c r="CG4" s="33">
        <v>723.47747194864314</v>
      </c>
      <c r="CH4" s="33">
        <v>719.32276483219766</v>
      </c>
      <c r="CI4" s="33">
        <v>715.14968781739435</v>
      </c>
      <c r="CJ4" s="33">
        <v>710.95808906679474</v>
      </c>
      <c r="CK4" s="33">
        <v>706.74781563629131</v>
      </c>
      <c r="CL4" s="33">
        <v>702.5187134668754</v>
      </c>
      <c r="CM4" s="33">
        <v>698.27062737634105</v>
      </c>
      <c r="CN4" s="33">
        <v>694.00340105093164</v>
      </c>
      <c r="CO4" s="33">
        <v>689.71687703692362</v>
      </c>
      <c r="CP4" s="33">
        <v>685.41089673214492</v>
      </c>
      <c r="CQ4" s="33">
        <v>681.08530037743344</v>
      </c>
      <c r="CR4" s="33">
        <v>676.73992704803186</v>
      </c>
      <c r="CS4" s="33">
        <v>672.37461464491685</v>
      </c>
      <c r="CT4" s="33">
        <v>667.98919988606599</v>
      </c>
      <c r="CU4" s="33">
        <v>663.58351829766013</v>
      </c>
      <c r="CV4" s="33">
        <v>659.15740420521729</v>
      </c>
      <c r="CW4" s="33">
        <v>654.71069072466537</v>
      </c>
      <c r="CX4" s="33">
        <v>650.24320975334547</v>
      </c>
      <c r="CY4" s="33">
        <v>645.75479196094898</v>
      </c>
      <c r="CZ4" s="33">
        <v>641.24526678038944</v>
      </c>
      <c r="DA4" s="33">
        <v>636.71446239860438</v>
      </c>
      <c r="DB4" s="33">
        <v>632.16220574728936</v>
      </c>
    </row>
    <row r="5" spans="1:106" x14ac:dyDescent="0.45">
      <c r="A5" s="24" t="s">
        <v>196</v>
      </c>
      <c r="B5" s="25" t="s">
        <v>18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-1.3314102214837791</v>
      </c>
      <c r="AV5" s="31">
        <v>-3.0153939549175131</v>
      </c>
      <c r="AW5" s="31">
        <v>-4.6960415398981468</v>
      </c>
      <c r="AX5" s="31">
        <v>-6.3733241452832914</v>
      </c>
      <c r="AY5" s="31">
        <v>-8.0472127312058461</v>
      </c>
      <c r="AZ5" s="31">
        <v>-9.7176780475198257</v>
      </c>
      <c r="BA5" s="31">
        <v>-11.384690632233591</v>
      </c>
      <c r="BB5" s="31">
        <v>-13.048220809932699</v>
      </c>
      <c r="BC5" s="31">
        <v>-14.708238690190351</v>
      </c>
      <c r="BD5" s="31">
        <v>-16.36471416596633</v>
      </c>
      <c r="BE5" s="31">
        <v>-18.017616911994079</v>
      </c>
      <c r="BF5" s="31">
        <v>-19.666916383155641</v>
      </c>
      <c r="BG5" s="31">
        <v>-21.3125818128443</v>
      </c>
      <c r="BH5" s="31">
        <v>-22.95458221131625</v>
      </c>
      <c r="BI5" s="31">
        <v>-24.592886364028409</v>
      </c>
      <c r="BJ5" s="31">
        <v>-26.227462829965301</v>
      </c>
      <c r="BK5" s="31">
        <v>-27.858279939952808</v>
      </c>
      <c r="BL5" s="31">
        <v>-29.485305794959132</v>
      </c>
      <c r="BM5" s="31">
        <v>-31.108508264384621</v>
      </c>
      <c r="BN5" s="31">
        <v>-32.727854984336801</v>
      </c>
      <c r="BO5" s="31">
        <v>-34.343313355894693</v>
      </c>
      <c r="BP5" s="31">
        <v>-35.954850543358518</v>
      </c>
      <c r="BQ5" s="31">
        <v>-37.562433472487868</v>
      </c>
      <c r="BR5" s="31">
        <v>-39.166028828725487</v>
      </c>
      <c r="BS5" s="31">
        <v>-40.765603055409429</v>
      </c>
      <c r="BT5" s="31">
        <v>-42.36112235197016</v>
      </c>
      <c r="BU5" s="31">
        <v>-43.952552672115999</v>
      </c>
      <c r="BV5" s="31">
        <v>-45.539859722004081</v>
      </c>
      <c r="BW5" s="31">
        <v>-47.123008958397733</v>
      </c>
      <c r="BX5" s="31">
        <v>-48.701965586810843</v>
      </c>
      <c r="BY5" s="31">
        <v>-50.276694559637967</v>
      </c>
      <c r="BZ5" s="31">
        <v>-51.847160574270887</v>
      </c>
      <c r="CA5" s="31">
        <v>-53.413328071200773</v>
      </c>
      <c r="CB5" s="31">
        <v>-52.401424230909527</v>
      </c>
      <c r="CC5" s="31">
        <v>-51.385149975535633</v>
      </c>
      <c r="CD5" s="31">
        <v>-50.364468963342183</v>
      </c>
      <c r="CE5" s="31">
        <v>-49.339344587959857</v>
      </c>
      <c r="CF5" s="31">
        <v>-48.309739976417973</v>
      </c>
      <c r="CG5" s="31">
        <v>-47.275617987160793</v>
      </c>
      <c r="CH5" s="31">
        <v>-46.236941208049423</v>
      </c>
      <c r="CI5" s="31">
        <v>-45.193671954348588</v>
      </c>
      <c r="CJ5" s="31">
        <v>-44.145772266698692</v>
      </c>
      <c r="CK5" s="31">
        <v>-43.093203909072827</v>
      </c>
      <c r="CL5" s="31">
        <v>-42.035928366718849</v>
      </c>
      <c r="CM5" s="31">
        <v>-40.973906844085263</v>
      </c>
      <c r="CN5" s="31">
        <v>-39.907100262732911</v>
      </c>
      <c r="CO5" s="31">
        <v>-38.835469259230898</v>
      </c>
      <c r="CP5" s="31">
        <v>-37.75897418303623</v>
      </c>
      <c r="CQ5" s="31">
        <v>-36.67757509435836</v>
      </c>
      <c r="CR5" s="31">
        <v>-35.591231762007958</v>
      </c>
      <c r="CS5" s="31">
        <v>-34.499903661229212</v>
      </c>
      <c r="CT5" s="31">
        <v>-33.403549971516497</v>
      </c>
      <c r="CU5" s="31">
        <v>-32.302129574415027</v>
      </c>
      <c r="CV5" s="31">
        <v>-31.195601051304319</v>
      </c>
      <c r="CW5" s="31">
        <v>-30.083922681166339</v>
      </c>
      <c r="CX5" s="31">
        <v>-28.967052438336371</v>
      </c>
      <c r="CY5" s="31">
        <v>-27.844947990237241</v>
      </c>
      <c r="CZ5" s="31">
        <v>-26.717566695097361</v>
      </c>
      <c r="DA5" s="31">
        <v>-25.584865599651099</v>
      </c>
      <c r="DB5" s="31">
        <v>-24.446801436822341</v>
      </c>
    </row>
    <row r="6" spans="1:106" x14ac:dyDescent="0.45">
      <c r="A6" s="24" t="s">
        <v>197</v>
      </c>
      <c r="B6" s="25" t="s">
        <v>18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  <c r="AZ6" s="30">
        <v>0</v>
      </c>
      <c r="BA6" s="30">
        <v>0</v>
      </c>
      <c r="BB6" s="30">
        <v>0</v>
      </c>
      <c r="BC6" s="30">
        <v>0</v>
      </c>
      <c r="BD6" s="30">
        <v>0</v>
      </c>
      <c r="BE6" s="30">
        <v>0</v>
      </c>
      <c r="BF6" s="30">
        <v>0</v>
      </c>
      <c r="BG6" s="30">
        <v>0</v>
      </c>
      <c r="BH6" s="30">
        <v>0</v>
      </c>
      <c r="BI6" s="30">
        <v>0</v>
      </c>
      <c r="BJ6" s="30">
        <v>0</v>
      </c>
      <c r="BK6" s="30">
        <v>0</v>
      </c>
      <c r="BL6" s="30">
        <v>0</v>
      </c>
      <c r="BM6" s="30">
        <v>0</v>
      </c>
      <c r="BN6" s="30">
        <v>0</v>
      </c>
      <c r="BO6" s="30">
        <v>0</v>
      </c>
      <c r="BP6" s="30">
        <v>0</v>
      </c>
      <c r="BQ6" s="30">
        <v>0</v>
      </c>
      <c r="BR6" s="30">
        <v>0</v>
      </c>
      <c r="BS6" s="30">
        <v>0</v>
      </c>
      <c r="BT6" s="30">
        <v>0</v>
      </c>
      <c r="BU6" s="30">
        <v>0</v>
      </c>
      <c r="BV6" s="30">
        <v>0</v>
      </c>
      <c r="BW6" s="30">
        <v>0</v>
      </c>
      <c r="BX6" s="30">
        <v>0</v>
      </c>
      <c r="BY6" s="30">
        <v>0</v>
      </c>
      <c r="BZ6" s="30">
        <v>0</v>
      </c>
      <c r="CA6" s="30">
        <v>0</v>
      </c>
      <c r="CB6" s="30">
        <v>0</v>
      </c>
      <c r="CC6" s="30">
        <v>0</v>
      </c>
      <c r="CD6" s="30">
        <v>0</v>
      </c>
      <c r="CE6" s="30">
        <v>0</v>
      </c>
      <c r="CF6" s="30">
        <v>0</v>
      </c>
      <c r="CG6" s="30">
        <v>0</v>
      </c>
      <c r="CH6" s="30">
        <v>0</v>
      </c>
      <c r="CI6" s="30">
        <v>0</v>
      </c>
      <c r="CJ6" s="30">
        <v>0</v>
      </c>
      <c r="CK6" s="30">
        <v>0</v>
      </c>
      <c r="CL6" s="30">
        <v>0</v>
      </c>
      <c r="CM6" s="30">
        <v>0</v>
      </c>
      <c r="CN6" s="30">
        <v>0</v>
      </c>
      <c r="CO6" s="30">
        <v>0</v>
      </c>
      <c r="CP6" s="30">
        <v>0</v>
      </c>
      <c r="CQ6" s="30">
        <v>0</v>
      </c>
      <c r="CR6" s="30">
        <v>0</v>
      </c>
      <c r="CS6" s="30">
        <v>0</v>
      </c>
      <c r="CT6" s="30">
        <v>0</v>
      </c>
      <c r="CU6" s="30">
        <v>0</v>
      </c>
      <c r="CV6" s="30">
        <v>0</v>
      </c>
      <c r="CW6" s="30">
        <v>0</v>
      </c>
      <c r="CX6" s="30">
        <v>0</v>
      </c>
      <c r="CY6" s="30">
        <v>0</v>
      </c>
      <c r="CZ6" s="30">
        <v>0</v>
      </c>
      <c r="DA6" s="30">
        <v>0</v>
      </c>
      <c r="DB6" s="30">
        <v>0</v>
      </c>
    </row>
    <row r="7" spans="1:106" x14ac:dyDescent="0.45">
      <c r="A7" s="27" t="s">
        <v>198</v>
      </c>
      <c r="B7" s="28" t="s">
        <v>18</v>
      </c>
      <c r="C7" s="29">
        <v>0</v>
      </c>
      <c r="D7" s="29">
        <v>0</v>
      </c>
      <c r="E7" s="29">
        <v>0</v>
      </c>
      <c r="F7" s="29">
        <v>0</v>
      </c>
      <c r="G7" s="29">
        <v>1001.78421925</v>
      </c>
      <c r="H7" s="29">
        <v>998.67328843884923</v>
      </c>
      <c r="I7" s="29">
        <v>995.55300744780402</v>
      </c>
      <c r="J7" s="29">
        <v>992.42328973887754</v>
      </c>
      <c r="K7" s="29">
        <v>989.28404815374995</v>
      </c>
      <c r="L7" s="29">
        <v>986.13519490913768</v>
      </c>
      <c r="M7" s="29">
        <v>982.97664159213355</v>
      </c>
      <c r="N7" s="29">
        <v>979.80829915550862</v>
      </c>
      <c r="O7" s="29">
        <v>976.63007791298128</v>
      </c>
      <c r="P7" s="29">
        <v>973.44188753444882</v>
      </c>
      <c r="Q7" s="29">
        <v>970.24363704118821</v>
      </c>
      <c r="R7" s="29">
        <v>967.03523480101637</v>
      </c>
      <c r="S7" s="29">
        <v>963.81658852341616</v>
      </c>
      <c r="T7" s="29">
        <v>960.58760525462969</v>
      </c>
      <c r="U7" s="29">
        <v>957.3481913727087</v>
      </c>
      <c r="V7" s="29">
        <v>954.09825258253488</v>
      </c>
      <c r="W7" s="29">
        <v>950.83769391079932</v>
      </c>
      <c r="X7" s="29">
        <v>947.56641970094483</v>
      </c>
      <c r="Y7" s="29">
        <v>944.28433360807264</v>
      </c>
      <c r="Z7" s="29">
        <v>940.99133859381163</v>
      </c>
      <c r="AA7" s="29">
        <v>937.68733692114517</v>
      </c>
      <c r="AB7" s="29">
        <v>934.37223014920585</v>
      </c>
      <c r="AC7" s="29">
        <v>931.04591912802721</v>
      </c>
      <c r="AD7" s="29">
        <v>927.70830399325746</v>
      </c>
      <c r="AE7" s="29">
        <v>924.35928416083652</v>
      </c>
      <c r="AF7" s="29">
        <v>920.99875832162877</v>
      </c>
      <c r="AG7" s="29">
        <v>917.62662443602153</v>
      </c>
      <c r="AH7" s="29">
        <v>914.24277972847892</v>
      </c>
      <c r="AI7" s="29">
        <v>910.84712068205818</v>
      </c>
      <c r="AJ7" s="29">
        <v>907.43954303288467</v>
      </c>
      <c r="AK7" s="29">
        <v>904.0199417645847</v>
      </c>
      <c r="AL7" s="29">
        <v>900.58821110267957</v>
      </c>
      <c r="AM7" s="29">
        <v>897.14424450893421</v>
      </c>
      <c r="AN7" s="29">
        <v>893.68793467567014</v>
      </c>
      <c r="AO7" s="29">
        <v>890.21917352002765</v>
      </c>
      <c r="AP7" s="29">
        <v>886.73785217819454</v>
      </c>
      <c r="AQ7" s="29">
        <v>883.24386099958519</v>
      </c>
      <c r="AR7" s="29">
        <v>879.73708954098026</v>
      </c>
      <c r="AS7" s="29">
        <v>876.21742656062122</v>
      </c>
      <c r="AT7" s="29">
        <v>872.6847600122627</v>
      </c>
      <c r="AU7" s="29">
        <v>867.80756681769435</v>
      </c>
      <c r="AV7" s="29">
        <v>862.56457001320678</v>
      </c>
      <c r="AW7" s="29">
        <v>857.3115647633598</v>
      </c>
      <c r="AX7" s="29">
        <v>852.04846457472638</v>
      </c>
      <c r="AY7" s="29">
        <v>846.77518232770524</v>
      </c>
      <c r="AZ7" s="29">
        <v>841.4916302718583</v>
      </c>
      <c r="BA7" s="29">
        <v>836.19772002121067</v>
      </c>
      <c r="BB7" s="29">
        <v>830.89336254951922</v>
      </c>
      <c r="BC7" s="29">
        <v>825.57846818550331</v>
      </c>
      <c r="BD7" s="29">
        <v>820.25294660804241</v>
      </c>
      <c r="BE7" s="29">
        <v>814.9167068413368</v>
      </c>
      <c r="BF7" s="29">
        <v>809.56965725003261</v>
      </c>
      <c r="BG7" s="29">
        <v>804.21170553430977</v>
      </c>
      <c r="BH7" s="29">
        <v>798.84275872493674</v>
      </c>
      <c r="BI7" s="29">
        <v>793.46272317828436</v>
      </c>
      <c r="BJ7" s="29">
        <v>788.07150457130626</v>
      </c>
      <c r="BK7" s="29">
        <v>782.66900789647991</v>
      </c>
      <c r="BL7" s="29">
        <v>777.25513745671003</v>
      </c>
      <c r="BM7" s="29">
        <v>771.82979686019769</v>
      </c>
      <c r="BN7" s="29">
        <v>766.39288901526538</v>
      </c>
      <c r="BO7" s="29">
        <v>760.94431612515018</v>
      </c>
      <c r="BP7" s="29">
        <v>755.48397968275287</v>
      </c>
      <c r="BQ7" s="29">
        <v>750.01178046535199</v>
      </c>
      <c r="BR7" s="29">
        <v>744.52761852927597</v>
      </c>
      <c r="BS7" s="29">
        <v>739.03139320453897</v>
      </c>
      <c r="BT7" s="29">
        <v>733.52300308943234</v>
      </c>
      <c r="BU7" s="29">
        <v>728.00234604508103</v>
      </c>
      <c r="BV7" s="29">
        <v>722.46931918995642</v>
      </c>
      <c r="BW7" s="29">
        <v>716.92381889434853</v>
      </c>
      <c r="BX7" s="29">
        <v>711.36574077479895</v>
      </c>
      <c r="BY7" s="29">
        <v>705.79497968849159</v>
      </c>
      <c r="BZ7" s="29">
        <v>700.2114297276014</v>
      </c>
      <c r="CA7" s="29">
        <v>694.61498421360227</v>
      </c>
      <c r="CB7" s="29">
        <v>691.57927269272864</v>
      </c>
      <c r="CC7" s="29">
        <v>688.53044992660693</v>
      </c>
      <c r="CD7" s="29">
        <v>685.46840689002647</v>
      </c>
      <c r="CE7" s="29">
        <v>682.39303376387954</v>
      </c>
      <c r="CF7" s="29">
        <v>679.30421992925392</v>
      </c>
      <c r="CG7" s="29">
        <v>676.20185396148236</v>
      </c>
      <c r="CH7" s="29">
        <v>673.08582362414825</v>
      </c>
      <c r="CI7" s="29">
        <v>669.95601586304576</v>
      </c>
      <c r="CJ7" s="29">
        <v>666.81231680009603</v>
      </c>
      <c r="CK7" s="29">
        <v>663.65461172721848</v>
      </c>
      <c r="CL7" s="29">
        <v>660.48278510015655</v>
      </c>
      <c r="CM7" s="29">
        <v>657.29672053225579</v>
      </c>
      <c r="CN7" s="29">
        <v>654.09630078819873</v>
      </c>
      <c r="CO7" s="29">
        <v>650.88140777769274</v>
      </c>
      <c r="CP7" s="29">
        <v>647.65192254910869</v>
      </c>
      <c r="CQ7" s="29">
        <v>644.40772528307502</v>
      </c>
      <c r="CR7" s="29">
        <v>641.14869528602389</v>
      </c>
      <c r="CS7" s="29">
        <v>637.87471098368769</v>
      </c>
      <c r="CT7" s="29">
        <v>634.58564991454955</v>
      </c>
      <c r="CU7" s="29">
        <v>631.28138872324507</v>
      </c>
      <c r="CV7" s="29">
        <v>627.96180315391302</v>
      </c>
      <c r="CW7" s="29">
        <v>624.62676804349906</v>
      </c>
      <c r="CX7" s="29">
        <v>621.27615731500907</v>
      </c>
      <c r="CY7" s="29">
        <v>617.90984397071179</v>
      </c>
      <c r="CZ7" s="29">
        <v>614.52770008529205</v>
      </c>
      <c r="DA7" s="29">
        <v>611.12959679895334</v>
      </c>
      <c r="DB7" s="29">
        <v>607.71540431046697</v>
      </c>
    </row>
    <row r="9" spans="1:106" x14ac:dyDescent="0.45">
      <c r="A9" s="61" t="s">
        <v>199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</row>
    <row r="10" spans="1:106" x14ac:dyDescent="0.45">
      <c r="A10" s="24" t="s">
        <v>200</v>
      </c>
      <c r="B10" s="25" t="s">
        <v>18</v>
      </c>
      <c r="C10" s="30">
        <v>0</v>
      </c>
      <c r="D10" s="30">
        <v>0</v>
      </c>
      <c r="E10" s="30">
        <v>0</v>
      </c>
      <c r="F10" s="30">
        <v>0</v>
      </c>
      <c r="G10" s="30">
        <v>741.23625634479697</v>
      </c>
      <c r="H10" s="30">
        <v>730.94130834000816</v>
      </c>
      <c r="I10" s="30">
        <v>720.64636033521924</v>
      </c>
      <c r="J10" s="30">
        <v>710.35141233043043</v>
      </c>
      <c r="K10" s="30">
        <v>700.05646432564163</v>
      </c>
      <c r="L10" s="30">
        <v>689.76151632085271</v>
      </c>
      <c r="M10" s="30">
        <v>679.4665683160639</v>
      </c>
      <c r="N10" s="30">
        <v>669.17162031127509</v>
      </c>
      <c r="O10" s="30">
        <v>658.87667230648617</v>
      </c>
      <c r="P10" s="30">
        <v>648.58172430169736</v>
      </c>
      <c r="Q10" s="30">
        <v>638.28677629690844</v>
      </c>
      <c r="R10" s="30">
        <v>627.99182829211964</v>
      </c>
      <c r="S10" s="30">
        <v>617.69688028733083</v>
      </c>
      <c r="T10" s="30">
        <v>607.40193228254191</v>
      </c>
      <c r="U10" s="30">
        <v>597.1069842777531</v>
      </c>
      <c r="V10" s="30">
        <v>586.81203627296429</v>
      </c>
      <c r="W10" s="30">
        <v>576.51708826817537</v>
      </c>
      <c r="X10" s="30">
        <v>566.22214026338656</v>
      </c>
      <c r="Y10" s="30">
        <v>555.92719225859776</v>
      </c>
      <c r="Z10" s="30">
        <v>545.63224425380884</v>
      </c>
      <c r="AA10" s="30">
        <v>535.33729624902003</v>
      </c>
      <c r="AB10" s="30">
        <v>525.04234824423122</v>
      </c>
      <c r="AC10" s="30">
        <v>514.7474002394423</v>
      </c>
      <c r="AD10" s="30">
        <v>504.45245223465349</v>
      </c>
      <c r="AE10" s="30">
        <v>494.15750422986463</v>
      </c>
      <c r="AF10" s="30">
        <v>483.86255622507582</v>
      </c>
      <c r="AG10" s="30">
        <v>473.5676082202869</v>
      </c>
      <c r="AH10" s="30">
        <v>463.27266021549809</v>
      </c>
      <c r="AI10" s="30">
        <v>452.97771221070923</v>
      </c>
      <c r="AJ10" s="30">
        <v>442.68276420592042</v>
      </c>
      <c r="AK10" s="30">
        <v>432.38781620113161</v>
      </c>
      <c r="AL10" s="30">
        <v>422.09286819634269</v>
      </c>
      <c r="AM10" s="30">
        <v>411.79792019155383</v>
      </c>
      <c r="AN10" s="30">
        <v>401.50297218676502</v>
      </c>
      <c r="AO10" s="30">
        <v>391.20802418197621</v>
      </c>
      <c r="AP10" s="30">
        <v>380.91307617718729</v>
      </c>
      <c r="AQ10" s="30">
        <v>370.61812817239837</v>
      </c>
      <c r="AR10" s="30">
        <v>360.32318016760962</v>
      </c>
      <c r="AS10" s="30">
        <v>350.02823216282081</v>
      </c>
      <c r="AT10" s="30">
        <v>339.73328415803189</v>
      </c>
      <c r="AU10" s="30">
        <v>329.43833615324297</v>
      </c>
      <c r="AV10" s="30">
        <v>319.14338814845422</v>
      </c>
      <c r="AW10" s="30">
        <v>308.84844014366541</v>
      </c>
      <c r="AX10" s="30">
        <v>298.55349213887649</v>
      </c>
      <c r="AY10" s="30">
        <v>288.25854413408769</v>
      </c>
      <c r="AZ10" s="30">
        <v>277.96359612929882</v>
      </c>
      <c r="BA10" s="30">
        <v>267.66864812451001</v>
      </c>
      <c r="BB10" s="30">
        <v>257.37370011972109</v>
      </c>
      <c r="BC10" s="30">
        <v>247.07875211493231</v>
      </c>
      <c r="BD10" s="30">
        <v>236.78380411014339</v>
      </c>
      <c r="BE10" s="30">
        <v>226.48885610535461</v>
      </c>
      <c r="BF10" s="30">
        <v>216.19390810056569</v>
      </c>
      <c r="BG10" s="30">
        <v>205.89896009577691</v>
      </c>
      <c r="BH10" s="30">
        <v>195.60401209098799</v>
      </c>
      <c r="BI10" s="30">
        <v>185.30906408619919</v>
      </c>
      <c r="BJ10" s="30">
        <v>175.01411608141029</v>
      </c>
      <c r="BK10" s="30">
        <v>164.71916807662149</v>
      </c>
      <c r="BL10" s="30">
        <v>154.42422007183259</v>
      </c>
      <c r="BM10" s="30">
        <v>144.12927206704379</v>
      </c>
      <c r="BN10" s="30">
        <v>133.83432406225501</v>
      </c>
      <c r="BO10" s="30">
        <v>123.5393760574661</v>
      </c>
      <c r="BP10" s="30">
        <v>113.24442805267731</v>
      </c>
      <c r="BQ10" s="30">
        <v>102.9494800478884</v>
      </c>
      <c r="BR10" s="30">
        <v>92.65453204309955</v>
      </c>
      <c r="BS10" s="30">
        <v>82.3595840383107</v>
      </c>
      <c r="BT10" s="30">
        <v>72.06463603352185</v>
      </c>
      <c r="BU10" s="30">
        <v>61.769688028733</v>
      </c>
      <c r="BV10" s="30">
        <v>51.474740023944157</v>
      </c>
      <c r="BW10" s="30">
        <v>41.179792019155308</v>
      </c>
      <c r="BX10" s="30">
        <v>30.884844014366461</v>
      </c>
      <c r="BY10" s="30">
        <v>20.589896009577611</v>
      </c>
      <c r="BZ10" s="30">
        <v>10.294948004788759</v>
      </c>
      <c r="CA10" s="30">
        <v>0</v>
      </c>
      <c r="CB10" s="30">
        <v>0</v>
      </c>
      <c r="CC10" s="30">
        <v>0</v>
      </c>
      <c r="CD10" s="30">
        <v>0</v>
      </c>
      <c r="CE10" s="30">
        <v>0</v>
      </c>
      <c r="CF10" s="30">
        <v>0</v>
      </c>
      <c r="CG10" s="30">
        <v>0</v>
      </c>
      <c r="CH10" s="30">
        <v>0</v>
      </c>
      <c r="CI10" s="30">
        <v>0</v>
      </c>
      <c r="CJ10" s="30">
        <v>0</v>
      </c>
      <c r="CK10" s="30">
        <v>0</v>
      </c>
      <c r="CL10" s="30">
        <v>0</v>
      </c>
      <c r="CM10" s="30">
        <v>0</v>
      </c>
      <c r="CN10" s="30">
        <v>0</v>
      </c>
      <c r="CO10" s="30">
        <v>0</v>
      </c>
      <c r="CP10" s="30">
        <v>0</v>
      </c>
      <c r="CQ10" s="30">
        <v>0</v>
      </c>
      <c r="CR10" s="30">
        <v>0</v>
      </c>
      <c r="CS10" s="30">
        <v>0</v>
      </c>
      <c r="CT10" s="30">
        <v>0</v>
      </c>
      <c r="CU10" s="30">
        <v>0</v>
      </c>
      <c r="CV10" s="30">
        <v>0</v>
      </c>
      <c r="CW10" s="30">
        <v>0</v>
      </c>
      <c r="CX10" s="30">
        <v>0</v>
      </c>
      <c r="CY10" s="30">
        <v>0</v>
      </c>
      <c r="CZ10" s="30">
        <v>0</v>
      </c>
      <c r="DA10" s="30">
        <v>0</v>
      </c>
      <c r="DB10" s="30">
        <v>0</v>
      </c>
    </row>
    <row r="11" spans="1:106" x14ac:dyDescent="0.45">
      <c r="A11" s="24" t="s">
        <v>201</v>
      </c>
      <c r="B11" s="25" t="s">
        <v>18</v>
      </c>
      <c r="C11" s="31">
        <v>0</v>
      </c>
      <c r="D11" s="31">
        <v>0</v>
      </c>
      <c r="E11" s="31">
        <v>0</v>
      </c>
      <c r="F11" s="31">
        <v>0</v>
      </c>
      <c r="G11" s="31">
        <v>437.49999999999989</v>
      </c>
      <c r="H11" s="31">
        <v>437.49999999999989</v>
      </c>
      <c r="I11" s="31">
        <v>437.49999999999989</v>
      </c>
      <c r="J11" s="31">
        <v>437.49999999999989</v>
      </c>
      <c r="K11" s="31">
        <v>437.49999999999989</v>
      </c>
      <c r="L11" s="31">
        <v>437.49999999999989</v>
      </c>
      <c r="M11" s="31">
        <v>437.49999999999989</v>
      </c>
      <c r="N11" s="31">
        <v>437.49999999999989</v>
      </c>
      <c r="O11" s="31">
        <v>437.49999999999989</v>
      </c>
      <c r="P11" s="31">
        <v>437.49999999999989</v>
      </c>
      <c r="Q11" s="31">
        <v>437.49999999999989</v>
      </c>
      <c r="R11" s="31">
        <v>437.49999999999989</v>
      </c>
      <c r="S11" s="31">
        <v>437.49999999999989</v>
      </c>
      <c r="T11" s="31">
        <v>437.49999999999989</v>
      </c>
      <c r="U11" s="31">
        <v>437.49999999999989</v>
      </c>
      <c r="V11" s="31">
        <v>437.49999999999989</v>
      </c>
      <c r="W11" s="31">
        <v>437.49999999999989</v>
      </c>
      <c r="X11" s="31">
        <v>437.49999999999989</v>
      </c>
      <c r="Y11" s="31">
        <v>437.49999999999989</v>
      </c>
      <c r="Z11" s="31">
        <v>437.49999999999989</v>
      </c>
      <c r="AA11" s="31">
        <v>437.49999999999989</v>
      </c>
      <c r="AB11" s="31">
        <v>437.49999999999989</v>
      </c>
      <c r="AC11" s="31">
        <v>437.49999999999989</v>
      </c>
      <c r="AD11" s="31">
        <v>437.49999999999989</v>
      </c>
      <c r="AE11" s="31">
        <v>437.49999999999989</v>
      </c>
      <c r="AF11" s="31">
        <v>437.49999999999989</v>
      </c>
      <c r="AG11" s="31">
        <v>437.49999999999989</v>
      </c>
      <c r="AH11" s="31">
        <v>437.49999999999989</v>
      </c>
      <c r="AI11" s="31">
        <v>437.49999999999989</v>
      </c>
      <c r="AJ11" s="31">
        <v>437.49999999999989</v>
      </c>
      <c r="AK11" s="31">
        <v>437.49999999999989</v>
      </c>
      <c r="AL11" s="31">
        <v>437.49999999999989</v>
      </c>
      <c r="AM11" s="31">
        <v>437.49999999999989</v>
      </c>
      <c r="AN11" s="31">
        <v>437.49999999999989</v>
      </c>
      <c r="AO11" s="31">
        <v>437.49999999999989</v>
      </c>
      <c r="AP11" s="31">
        <v>437.49999999999989</v>
      </c>
      <c r="AQ11" s="31">
        <v>437.49999999999989</v>
      </c>
      <c r="AR11" s="31">
        <v>437.49999999999989</v>
      </c>
      <c r="AS11" s="31">
        <v>437.49999999999989</v>
      </c>
      <c r="AT11" s="31">
        <v>437.49999999999989</v>
      </c>
      <c r="AU11" s="31">
        <v>437.49999999999989</v>
      </c>
      <c r="AV11" s="31">
        <v>437.49999999999989</v>
      </c>
      <c r="AW11" s="31">
        <v>437.49999999999989</v>
      </c>
      <c r="AX11" s="31">
        <v>437.49999999999989</v>
      </c>
      <c r="AY11" s="31">
        <v>437.49999999999989</v>
      </c>
      <c r="AZ11" s="31">
        <v>437.49999999999989</v>
      </c>
      <c r="BA11" s="31">
        <v>437.49999999999989</v>
      </c>
      <c r="BB11" s="31">
        <v>437.49999999999989</v>
      </c>
      <c r="BC11" s="31">
        <v>437.49999999999989</v>
      </c>
      <c r="BD11" s="31">
        <v>437.49999999999989</v>
      </c>
      <c r="BE11" s="31">
        <v>437.49999999999989</v>
      </c>
      <c r="BF11" s="31">
        <v>437.49999999999989</v>
      </c>
      <c r="BG11" s="31">
        <v>437.49999999999989</v>
      </c>
      <c r="BH11" s="31">
        <v>437.49999999999989</v>
      </c>
      <c r="BI11" s="31">
        <v>437.49999999999989</v>
      </c>
      <c r="BJ11" s="31">
        <v>437.49999999999989</v>
      </c>
      <c r="BK11" s="31">
        <v>437.49999999999989</v>
      </c>
      <c r="BL11" s="31">
        <v>437.49999999999989</v>
      </c>
      <c r="BM11" s="31">
        <v>437.49999999999989</v>
      </c>
      <c r="BN11" s="31">
        <v>437.49999999999989</v>
      </c>
      <c r="BO11" s="31">
        <v>437.49999999999989</v>
      </c>
      <c r="BP11" s="31">
        <v>437.49999999999989</v>
      </c>
      <c r="BQ11" s="31">
        <v>437.49999999999989</v>
      </c>
      <c r="BR11" s="31">
        <v>437.49999999999989</v>
      </c>
      <c r="BS11" s="31">
        <v>437.49999999999989</v>
      </c>
      <c r="BT11" s="31">
        <v>437.49999999999989</v>
      </c>
      <c r="BU11" s="31">
        <v>437.49999999999989</v>
      </c>
      <c r="BV11" s="31">
        <v>437.49999999999989</v>
      </c>
      <c r="BW11" s="31">
        <v>437.49999999999989</v>
      </c>
      <c r="BX11" s="31">
        <v>437.49999999999989</v>
      </c>
      <c r="BY11" s="31">
        <v>437.49999999999989</v>
      </c>
      <c r="BZ11" s="31">
        <v>437.49999999999989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0</v>
      </c>
      <c r="CL11" s="31">
        <v>0</v>
      </c>
      <c r="CM11" s="31">
        <v>0</v>
      </c>
      <c r="CN11" s="31">
        <v>0</v>
      </c>
      <c r="CO11" s="31">
        <v>0</v>
      </c>
      <c r="CP11" s="31">
        <v>0</v>
      </c>
      <c r="CQ11" s="31">
        <v>0</v>
      </c>
      <c r="CR11" s="31">
        <v>0</v>
      </c>
      <c r="CS11" s="31">
        <v>0</v>
      </c>
      <c r="CT11" s="31">
        <v>0</v>
      </c>
      <c r="CU11" s="31">
        <v>0</v>
      </c>
      <c r="CV11" s="31">
        <v>0</v>
      </c>
      <c r="CW11" s="31">
        <v>0</v>
      </c>
      <c r="CX11" s="31">
        <v>0</v>
      </c>
      <c r="CY11" s="31">
        <v>0</v>
      </c>
      <c r="CZ11" s="31">
        <v>0</v>
      </c>
      <c r="DA11" s="31">
        <v>0</v>
      </c>
      <c r="DB11" s="31">
        <v>0</v>
      </c>
    </row>
    <row r="12" spans="1:106" x14ac:dyDescent="0.45">
      <c r="A12" s="27" t="s">
        <v>202</v>
      </c>
      <c r="B12" s="28" t="s">
        <v>18</v>
      </c>
      <c r="C12" s="33">
        <v>0</v>
      </c>
      <c r="D12" s="33">
        <v>0</v>
      </c>
      <c r="E12" s="33">
        <v>0</v>
      </c>
      <c r="F12" s="33">
        <v>0</v>
      </c>
      <c r="G12" s="33">
        <v>1178.7362563447971</v>
      </c>
      <c r="H12" s="33">
        <v>1168.4413083400079</v>
      </c>
      <c r="I12" s="33">
        <v>1158.146360335219</v>
      </c>
      <c r="J12" s="33">
        <v>1147.8514123304301</v>
      </c>
      <c r="K12" s="33">
        <v>1137.5564643256421</v>
      </c>
      <c r="L12" s="33">
        <v>1127.2615163208529</v>
      </c>
      <c r="M12" s="33">
        <v>1116.966568316064</v>
      </c>
      <c r="N12" s="33">
        <v>1106.6716203112751</v>
      </c>
      <c r="O12" s="33">
        <v>1096.3766723064859</v>
      </c>
      <c r="P12" s="33">
        <v>1086.081724301697</v>
      </c>
      <c r="Q12" s="33">
        <v>1075.7867762969081</v>
      </c>
      <c r="R12" s="33">
        <v>1065.4918282921201</v>
      </c>
      <c r="S12" s="33">
        <v>1055.1968802873309</v>
      </c>
      <c r="T12" s="33">
        <v>1044.901932282542</v>
      </c>
      <c r="U12" s="33">
        <v>1034.6069842777531</v>
      </c>
      <c r="V12" s="33">
        <v>1024.312036272964</v>
      </c>
      <c r="W12" s="33">
        <v>1014.017088268175</v>
      </c>
      <c r="X12" s="33">
        <v>1003.722140263387</v>
      </c>
      <c r="Y12" s="33">
        <v>993.42719225859764</v>
      </c>
      <c r="Z12" s="33">
        <v>983.13224425380872</v>
      </c>
      <c r="AA12" s="33">
        <v>972.83729624902003</v>
      </c>
      <c r="AB12" s="33">
        <v>962.54234824423111</v>
      </c>
      <c r="AC12" s="33">
        <v>952.24740023944219</v>
      </c>
      <c r="AD12" s="33">
        <v>941.95245223465349</v>
      </c>
      <c r="AE12" s="33">
        <v>931.65750422986457</v>
      </c>
      <c r="AF12" s="33">
        <v>921.36255622507565</v>
      </c>
      <c r="AG12" s="33">
        <v>911.06760822028684</v>
      </c>
      <c r="AH12" s="33">
        <v>900.77266021549804</v>
      </c>
      <c r="AI12" s="33">
        <v>890.47771221070911</v>
      </c>
      <c r="AJ12" s="33">
        <v>880.18276420592031</v>
      </c>
      <c r="AK12" s="33">
        <v>869.8878162011315</v>
      </c>
      <c r="AL12" s="33">
        <v>859.59286819634258</v>
      </c>
      <c r="AM12" s="33">
        <v>849.29792019155377</v>
      </c>
      <c r="AN12" s="33">
        <v>839.00297218676496</v>
      </c>
      <c r="AO12" s="33">
        <v>828.70802418197604</v>
      </c>
      <c r="AP12" s="33">
        <v>818.41307617718724</v>
      </c>
      <c r="AQ12" s="33">
        <v>808.11812817239843</v>
      </c>
      <c r="AR12" s="33">
        <v>797.82318016760951</v>
      </c>
      <c r="AS12" s="33">
        <v>787.5282321628207</v>
      </c>
      <c r="AT12" s="33">
        <v>777.23328415803189</v>
      </c>
      <c r="AU12" s="33">
        <v>766.93833615324297</v>
      </c>
      <c r="AV12" s="33">
        <v>756.64338814845416</v>
      </c>
      <c r="AW12" s="33">
        <v>746.34844014366536</v>
      </c>
      <c r="AX12" s="33">
        <v>736.05349213887644</v>
      </c>
      <c r="AY12" s="33">
        <v>725.75854413408763</v>
      </c>
      <c r="AZ12" s="33">
        <v>715.46359612929882</v>
      </c>
      <c r="BA12" s="33">
        <v>705.1686481245099</v>
      </c>
      <c r="BB12" s="33">
        <v>694.87370011972098</v>
      </c>
      <c r="BC12" s="33">
        <v>684.57875211493217</v>
      </c>
      <c r="BD12" s="33">
        <v>674.28380411014336</v>
      </c>
      <c r="BE12" s="33">
        <v>663.98885610535456</v>
      </c>
      <c r="BF12" s="33">
        <v>653.69390810056564</v>
      </c>
      <c r="BG12" s="33">
        <v>643.39896009577683</v>
      </c>
      <c r="BH12" s="33">
        <v>633.10401209098791</v>
      </c>
      <c r="BI12" s="33">
        <v>622.8090640861991</v>
      </c>
      <c r="BJ12" s="33">
        <v>612.51411608141029</v>
      </c>
      <c r="BK12" s="33">
        <v>602.21916807662137</v>
      </c>
      <c r="BL12" s="33">
        <v>591.92422007183256</v>
      </c>
      <c r="BM12" s="33">
        <v>581.62927206704376</v>
      </c>
      <c r="BN12" s="33">
        <v>571.33432406225484</v>
      </c>
      <c r="BO12" s="33">
        <v>561.03937605746603</v>
      </c>
      <c r="BP12" s="33">
        <v>550.74442805267722</v>
      </c>
      <c r="BQ12" s="33">
        <v>540.4494800478883</v>
      </c>
      <c r="BR12" s="33">
        <v>530.15453204309949</v>
      </c>
      <c r="BS12" s="33">
        <v>519.85958403831069</v>
      </c>
      <c r="BT12" s="33">
        <v>509.56463603352182</v>
      </c>
      <c r="BU12" s="33">
        <v>499.26968802873301</v>
      </c>
      <c r="BV12" s="33">
        <v>488.97474002394409</v>
      </c>
      <c r="BW12" s="33">
        <v>478.67979201915517</v>
      </c>
      <c r="BX12" s="33">
        <v>468.38484401436642</v>
      </c>
      <c r="BY12" s="33">
        <v>458.08989600957761</v>
      </c>
      <c r="BZ12" s="33">
        <v>447.79494800478869</v>
      </c>
      <c r="CA12" s="33">
        <v>0</v>
      </c>
      <c r="CB12" s="33">
        <v>0</v>
      </c>
      <c r="CC12" s="33">
        <v>0</v>
      </c>
      <c r="CD12" s="33">
        <v>0</v>
      </c>
      <c r="CE12" s="33">
        <v>0</v>
      </c>
      <c r="CF12" s="33">
        <v>0</v>
      </c>
      <c r="CG12" s="33">
        <v>0</v>
      </c>
      <c r="CH12" s="33">
        <v>0</v>
      </c>
      <c r="CI12" s="33">
        <v>0</v>
      </c>
      <c r="CJ12" s="33">
        <v>0</v>
      </c>
      <c r="CK12" s="33">
        <v>0</v>
      </c>
      <c r="CL12" s="33">
        <v>0</v>
      </c>
      <c r="CM12" s="33">
        <v>0</v>
      </c>
      <c r="CN12" s="33">
        <v>0</v>
      </c>
      <c r="CO12" s="33">
        <v>0</v>
      </c>
      <c r="CP12" s="33">
        <v>0</v>
      </c>
      <c r="CQ12" s="33">
        <v>0</v>
      </c>
      <c r="CR12" s="33">
        <v>0</v>
      </c>
      <c r="CS12" s="33">
        <v>0</v>
      </c>
      <c r="CT12" s="33">
        <v>0</v>
      </c>
      <c r="CU12" s="33">
        <v>0</v>
      </c>
      <c r="CV12" s="33">
        <v>0</v>
      </c>
      <c r="CW12" s="33">
        <v>0</v>
      </c>
      <c r="CX12" s="33">
        <v>0</v>
      </c>
      <c r="CY12" s="33">
        <v>0</v>
      </c>
      <c r="CZ12" s="33">
        <v>0</v>
      </c>
      <c r="DA12" s="33">
        <v>0</v>
      </c>
      <c r="DB12" s="33">
        <v>0</v>
      </c>
    </row>
    <row r="13" spans="1:106" x14ac:dyDescent="0.45">
      <c r="A13" s="34" t="s">
        <v>203</v>
      </c>
      <c r="B13" s="35" t="s">
        <v>48</v>
      </c>
      <c r="C13" s="36"/>
      <c r="D13" s="36"/>
      <c r="E13" s="36"/>
      <c r="F13" s="36"/>
      <c r="G13" s="37">
        <v>0.84987987249707886</v>
      </c>
      <c r="H13" s="37">
        <v>0.85470556485002525</v>
      </c>
      <c r="I13" s="37">
        <v>0.85960897650245738</v>
      </c>
      <c r="J13" s="37">
        <v>0.86459212322961365</v>
      </c>
      <c r="K13" s="37">
        <v>0.86965709323291529</v>
      </c>
      <c r="L13" s="37">
        <v>0.87480605044309323</v>
      </c>
      <c r="M13" s="37">
        <v>0.88004123800595646</v>
      </c>
      <c r="N13" s="37">
        <v>0.88536498196268609</v>
      </c>
      <c r="O13" s="37">
        <v>0.89077969513744781</v>
      </c>
      <c r="P13" s="37">
        <v>0.89628788124607206</v>
      </c>
      <c r="Q13" s="37">
        <v>0.90189213924061928</v>
      </c>
      <c r="R13" s="37">
        <v>0.90759516790577388</v>
      </c>
      <c r="S13" s="37">
        <v>0.91339977072427314</v>
      </c>
      <c r="T13" s="37">
        <v>0.91930886102992349</v>
      </c>
      <c r="U13" s="37">
        <v>0.92532546746823108</v>
      </c>
      <c r="V13" s="37">
        <v>0.9314527397862985</v>
      </c>
      <c r="W13" s="37">
        <v>0.93769395497537511</v>
      </c>
      <c r="X13" s="37">
        <v>0.94405252379138915</v>
      </c>
      <c r="Y13" s="37">
        <v>0.95053199768088015</v>
      </c>
      <c r="Z13" s="37">
        <v>0.95713607614204355</v>
      </c>
      <c r="AA13" s="37">
        <v>0.96386861455311901</v>
      </c>
      <c r="AB13" s="37">
        <v>0.97073363250312028</v>
      </c>
      <c r="AC13" s="37">
        <v>0.97773532266290897</v>
      </c>
      <c r="AD13" s="37">
        <v>0.98487806023796243</v>
      </c>
      <c r="AE13" s="37">
        <v>0.99216641304782816</v>
      </c>
      <c r="AF13" s="37">
        <v>0.999605152281272</v>
      </c>
      <c r="AG13" s="38">
        <v>1.0071992639805809</v>
      </c>
      <c r="AH13" s="38">
        <v>1.014953961313344</v>
      </c>
      <c r="AI13" s="38">
        <v>1.0228746976954419</v>
      </c>
      <c r="AJ13" s="38">
        <v>1.030967180834943</v>
      </c>
      <c r="AK13" s="38">
        <v>1.0392373877731851</v>
      </c>
      <c r="AL13" s="38">
        <v>1.047691581006664</v>
      </c>
      <c r="AM13" s="38">
        <v>1.056336325781404</v>
      </c>
      <c r="AN13" s="38">
        <v>1.065178508660553</v>
      </c>
      <c r="AO13" s="38">
        <v>1.0742253574758971</v>
      </c>
      <c r="AP13" s="38">
        <v>1.0834844627851661</v>
      </c>
      <c r="AQ13" s="38">
        <v>1.0929638009694049</v>
      </c>
      <c r="AR13" s="38">
        <v>1.102671759118558</v>
      </c>
      <c r="AS13" s="38">
        <v>1.1126171618688889</v>
      </c>
      <c r="AT13" s="38">
        <v>1.122809300373224</v>
      </c>
      <c r="AU13" s="38">
        <v>1.131521956733033</v>
      </c>
      <c r="AV13" s="38">
        <v>1.139988247467473</v>
      </c>
      <c r="AW13" s="38">
        <v>1.1486746922098949</v>
      </c>
      <c r="AX13" s="38">
        <v>1.1575904111245821</v>
      </c>
      <c r="AY13" s="38">
        <v>1.1667450409943221</v>
      </c>
      <c r="AZ13" s="38">
        <v>1.176148772382521</v>
      </c>
      <c r="BA13" s="38">
        <v>1.185812390050508</v>
      </c>
      <c r="BB13" s="38">
        <v>1.19574731696762</v>
      </c>
      <c r="BC13" s="38">
        <v>1.205965662292275</v>
      </c>
      <c r="BD13" s="38">
        <v>1.2164802737484339</v>
      </c>
      <c r="BE13" s="38">
        <v>1.2273047948745011</v>
      </c>
      <c r="BF13" s="38">
        <v>1.2384537276818051</v>
      </c>
      <c r="BG13" s="38">
        <v>1.2499425013285601</v>
      </c>
      <c r="BH13" s="39">
        <v>1.261787547494059</v>
      </c>
      <c r="BI13" s="39">
        <v>1.274006383228337</v>
      </c>
      <c r="BJ13" s="39">
        <v>1.286617702156863</v>
      </c>
      <c r="BK13" s="39">
        <v>1.29964147504003</v>
      </c>
      <c r="BL13" s="39">
        <v>1.3130990608263791</v>
      </c>
      <c r="BM13" s="39">
        <v>1.3270133294997399</v>
      </c>
      <c r="BN13" s="39">
        <v>1.3414087982078879</v>
      </c>
      <c r="BO13" s="39">
        <v>1.3563117823787261</v>
      </c>
      <c r="BP13" s="39">
        <v>1.3717505637850831</v>
      </c>
      <c r="BQ13" s="39">
        <v>1.3877555778181061</v>
      </c>
      <c r="BR13" s="39">
        <v>1.404359622580287</v>
      </c>
      <c r="BS13" s="39">
        <v>1.4215980928228431</v>
      </c>
      <c r="BT13" s="39">
        <v>1.439509242241013</v>
      </c>
      <c r="BU13" s="39">
        <v>1.458134478220485</v>
      </c>
      <c r="BV13" s="39">
        <v>1.4775186938175551</v>
      </c>
      <c r="BW13" s="39">
        <v>1.497710642578493</v>
      </c>
      <c r="BX13" s="39">
        <v>1.518763362789296</v>
      </c>
      <c r="BY13" s="39">
        <v>1.5407346589319559</v>
      </c>
      <c r="BZ13" s="39">
        <v>1.563687649553638</v>
      </c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</row>
    <row r="15" spans="1:106" x14ac:dyDescent="0.45">
      <c r="A15" s="61" t="s">
        <v>204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</row>
    <row r="16" spans="1:106" x14ac:dyDescent="0.45">
      <c r="A16" s="24" t="s">
        <v>205</v>
      </c>
      <c r="B16" s="25" t="s">
        <v>18</v>
      </c>
      <c r="C16" s="30">
        <v>0</v>
      </c>
      <c r="D16" s="30">
        <v>0</v>
      </c>
      <c r="E16" s="30">
        <v>0</v>
      </c>
      <c r="F16" s="30">
        <v>0</v>
      </c>
      <c r="G16" s="30">
        <v>-176.95203709479691</v>
      </c>
      <c r="H16" s="30">
        <v>-169.76801990115891</v>
      </c>
      <c r="I16" s="30">
        <v>-162.59335288741519</v>
      </c>
      <c r="J16" s="30">
        <v>-155.42812259155281</v>
      </c>
      <c r="K16" s="30">
        <v>-148.27241617189171</v>
      </c>
      <c r="L16" s="30">
        <v>-141.126321411715</v>
      </c>
      <c r="M16" s="30">
        <v>-133.98992672393021</v>
      </c>
      <c r="N16" s="30">
        <v>-126.8633211557665</v>
      </c>
      <c r="O16" s="30">
        <v>-119.74659439350491</v>
      </c>
      <c r="P16" s="30">
        <v>-112.6398367672484</v>
      </c>
      <c r="Q16" s="30">
        <v>-105.54313925572011</v>
      </c>
      <c r="R16" s="30">
        <v>-98.456593491103263</v>
      </c>
      <c r="S16" s="30">
        <v>-91.380291763914556</v>
      </c>
      <c r="T16" s="30">
        <v>-84.3143270279121</v>
      </c>
      <c r="U16" s="30">
        <v>-77.258792905044402</v>
      </c>
      <c r="V16" s="30">
        <v>-70.213783690429295</v>
      </c>
      <c r="W16" s="30">
        <v>-63.179394357375941</v>
      </c>
      <c r="X16" s="30">
        <v>-56.155720562441729</v>
      </c>
      <c r="Y16" s="30">
        <v>-49.142858650525</v>
      </c>
      <c r="Z16" s="30">
        <v>-42.140905659997088</v>
      </c>
      <c r="AA16" s="30">
        <v>-35.149959327874853</v>
      </c>
      <c r="AB16" s="30">
        <v>-28.170118095025259</v>
      </c>
      <c r="AC16" s="30">
        <v>-21.201481111414981</v>
      </c>
      <c r="AD16" s="30">
        <v>-14.244148241396029</v>
      </c>
      <c r="AE16" s="30">
        <v>-7.2982200690280479</v>
      </c>
      <c r="AF16" s="30">
        <v>-0.3637979034468799</v>
      </c>
      <c r="AG16" s="30">
        <v>6.5590162157346867</v>
      </c>
      <c r="AH16" s="30">
        <v>13.47011951298089</v>
      </c>
      <c r="AI16" s="30">
        <v>20.369408471349061</v>
      </c>
      <c r="AJ16" s="30">
        <v>27.256778826964361</v>
      </c>
      <c r="AK16" s="30">
        <v>34.132125563453201</v>
      </c>
      <c r="AL16" s="30">
        <v>40.995342906336987</v>
      </c>
      <c r="AM16" s="30">
        <v>47.846324317380443</v>
      </c>
      <c r="AN16" s="30">
        <v>54.684962488905171</v>
      </c>
      <c r="AO16" s="30">
        <v>61.511149338051609</v>
      </c>
      <c r="AP16" s="30">
        <v>68.324776001007308</v>
      </c>
      <c r="AQ16" s="30">
        <v>75.125732827186766</v>
      </c>
      <c r="AR16" s="30">
        <v>81.913909373370757</v>
      </c>
      <c r="AS16" s="30">
        <v>88.68919439780052</v>
      </c>
      <c r="AT16" s="30">
        <v>95.451475854230807</v>
      </c>
      <c r="AU16" s="30">
        <v>100.86923066445139</v>
      </c>
      <c r="AV16" s="30">
        <v>105.9211818647526</v>
      </c>
      <c r="AW16" s="30">
        <v>110.9631246196944</v>
      </c>
      <c r="AX16" s="30">
        <v>115.9949724358499</v>
      </c>
      <c r="AY16" s="30">
        <v>121.0166381936176</v>
      </c>
      <c r="AZ16" s="30">
        <v>126.02803414255951</v>
      </c>
      <c r="BA16" s="30">
        <v>131.0290718967008</v>
      </c>
      <c r="BB16" s="30">
        <v>136.01966242979819</v>
      </c>
      <c r="BC16" s="30">
        <v>140.99971607057111</v>
      </c>
      <c r="BD16" s="30">
        <v>145.96914249789901</v>
      </c>
      <c r="BE16" s="30">
        <v>150.92785073598219</v>
      </c>
      <c r="BF16" s="30">
        <v>155.875749149467</v>
      </c>
      <c r="BG16" s="30">
        <v>160.81274543853289</v>
      </c>
      <c r="BH16" s="30">
        <v>165.73874663394881</v>
      </c>
      <c r="BI16" s="30">
        <v>170.65365909208529</v>
      </c>
      <c r="BJ16" s="30">
        <v>175.557388489896</v>
      </c>
      <c r="BK16" s="30">
        <v>180.44983981985851</v>
      </c>
      <c r="BL16" s="30">
        <v>185.33091738487749</v>
      </c>
      <c r="BM16" s="30">
        <v>190.2005247931539</v>
      </c>
      <c r="BN16" s="30">
        <v>195.05856495301049</v>
      </c>
      <c r="BO16" s="30">
        <v>199.90494006768421</v>
      </c>
      <c r="BP16" s="30">
        <v>204.73955163007571</v>
      </c>
      <c r="BQ16" s="30">
        <v>209.56230041746369</v>
      </c>
      <c r="BR16" s="30">
        <v>214.3730864861765</v>
      </c>
      <c r="BS16" s="30">
        <v>219.17180916622829</v>
      </c>
      <c r="BT16" s="30">
        <v>223.9583670559106</v>
      </c>
      <c r="BU16" s="30">
        <v>228.7326580163481</v>
      </c>
      <c r="BV16" s="30">
        <v>233.4945791660123</v>
      </c>
      <c r="BW16" s="30">
        <v>238.2440268751933</v>
      </c>
      <c r="BX16" s="30">
        <v>242.9808967604325</v>
      </c>
      <c r="BY16" s="30">
        <v>247.70508367891401</v>
      </c>
      <c r="BZ16" s="30">
        <v>252.4164817228127</v>
      </c>
      <c r="CA16" s="30">
        <v>694.61498421360227</v>
      </c>
      <c r="CB16" s="30">
        <v>691.57927269272864</v>
      </c>
      <c r="CC16" s="30">
        <v>688.53044992660693</v>
      </c>
      <c r="CD16" s="30">
        <v>685.46840689002647</v>
      </c>
      <c r="CE16" s="30">
        <v>682.39303376387954</v>
      </c>
      <c r="CF16" s="30">
        <v>679.30421992925392</v>
      </c>
      <c r="CG16" s="30">
        <v>676.20185396148236</v>
      </c>
      <c r="CH16" s="30">
        <v>673.08582362414825</v>
      </c>
      <c r="CI16" s="30">
        <v>669.95601586304576</v>
      </c>
      <c r="CJ16" s="30">
        <v>666.81231680009603</v>
      </c>
      <c r="CK16" s="30">
        <v>663.65461172721848</v>
      </c>
      <c r="CL16" s="30">
        <v>660.48278510015655</v>
      </c>
      <c r="CM16" s="30">
        <v>657.29672053225579</v>
      </c>
      <c r="CN16" s="30">
        <v>654.09630078819873</v>
      </c>
      <c r="CO16" s="30">
        <v>650.88140777769274</v>
      </c>
      <c r="CP16" s="30">
        <v>647.65192254910869</v>
      </c>
      <c r="CQ16" s="30">
        <v>644.40772528307502</v>
      </c>
      <c r="CR16" s="30">
        <v>641.14869528602389</v>
      </c>
      <c r="CS16" s="30">
        <v>637.87471098368769</v>
      </c>
      <c r="CT16" s="30">
        <v>634.58564991454955</v>
      </c>
      <c r="CU16" s="30">
        <v>631.28138872324507</v>
      </c>
      <c r="CV16" s="30">
        <v>627.96180315391302</v>
      </c>
      <c r="CW16" s="30">
        <v>624.62676804349906</v>
      </c>
      <c r="CX16" s="30">
        <v>621.27615731500907</v>
      </c>
      <c r="CY16" s="30">
        <v>617.90984397071179</v>
      </c>
      <c r="CZ16" s="30">
        <v>614.52770008529205</v>
      </c>
      <c r="DA16" s="30">
        <v>611.12959679895334</v>
      </c>
      <c r="DB16" s="30">
        <v>607.71540431046697</v>
      </c>
    </row>
    <row r="17" spans="1:106" x14ac:dyDescent="0.45">
      <c r="A17" s="24" t="s">
        <v>206</v>
      </c>
      <c r="B17" s="25" t="s">
        <v>18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  <c r="BQ17" s="31">
        <v>0</v>
      </c>
      <c r="BR17" s="31">
        <v>0</v>
      </c>
      <c r="BS17" s="31">
        <v>0</v>
      </c>
      <c r="BT17" s="31">
        <v>0</v>
      </c>
      <c r="BU17" s="31">
        <v>0</v>
      </c>
      <c r="BV17" s="31">
        <v>0</v>
      </c>
      <c r="BW17" s="31">
        <v>0</v>
      </c>
      <c r="BX17" s="31">
        <v>0</v>
      </c>
      <c r="BY17" s="31">
        <v>0</v>
      </c>
      <c r="BZ17" s="31">
        <v>0</v>
      </c>
      <c r="CA17" s="31">
        <v>0</v>
      </c>
      <c r="CB17" s="31">
        <v>0</v>
      </c>
      <c r="CC17" s="31">
        <v>0</v>
      </c>
      <c r="CD17" s="31">
        <v>0</v>
      </c>
      <c r="CE17" s="31">
        <v>0</v>
      </c>
      <c r="CF17" s="31">
        <v>0</v>
      </c>
      <c r="CG17" s="31">
        <v>0</v>
      </c>
      <c r="CH17" s="31">
        <v>0</v>
      </c>
      <c r="CI17" s="31">
        <v>0</v>
      </c>
      <c r="CJ17" s="31">
        <v>0</v>
      </c>
      <c r="CK17" s="31">
        <v>0</v>
      </c>
      <c r="CL17" s="31">
        <v>0</v>
      </c>
      <c r="CM17" s="31">
        <v>0</v>
      </c>
      <c r="CN17" s="31">
        <v>0</v>
      </c>
      <c r="CO17" s="31">
        <v>0</v>
      </c>
      <c r="CP17" s="31">
        <v>0</v>
      </c>
      <c r="CQ17" s="31">
        <v>0</v>
      </c>
      <c r="CR17" s="31">
        <v>0</v>
      </c>
      <c r="CS17" s="31">
        <v>0</v>
      </c>
      <c r="CT17" s="31">
        <v>0</v>
      </c>
      <c r="CU17" s="31">
        <v>0</v>
      </c>
      <c r="CV17" s="31">
        <v>0</v>
      </c>
      <c r="CW17" s="31">
        <v>0</v>
      </c>
      <c r="CX17" s="31">
        <v>0</v>
      </c>
      <c r="CY17" s="31">
        <v>0</v>
      </c>
      <c r="CZ17" s="31">
        <v>0</v>
      </c>
      <c r="DA17" s="31">
        <v>0</v>
      </c>
      <c r="DB17" s="31">
        <v>0</v>
      </c>
    </row>
    <row r="18" spans="1:106" x14ac:dyDescent="0.45">
      <c r="A18" s="24" t="s">
        <v>207</v>
      </c>
      <c r="B18" s="25" t="s">
        <v>18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</v>
      </c>
      <c r="BZ18" s="30">
        <v>0</v>
      </c>
      <c r="CA18" s="30">
        <v>0</v>
      </c>
      <c r="CB18" s="30">
        <v>0</v>
      </c>
      <c r="CC18" s="30">
        <v>0</v>
      </c>
      <c r="CD18" s="30">
        <v>0</v>
      </c>
      <c r="CE18" s="30">
        <v>0</v>
      </c>
      <c r="CF18" s="30">
        <v>0</v>
      </c>
      <c r="CG18" s="30">
        <v>0</v>
      </c>
      <c r="CH18" s="30">
        <v>0</v>
      </c>
      <c r="CI18" s="30">
        <v>0</v>
      </c>
      <c r="CJ18" s="30">
        <v>0</v>
      </c>
      <c r="CK18" s="30">
        <v>0</v>
      </c>
      <c r="CL18" s="30">
        <v>0</v>
      </c>
      <c r="CM18" s="30">
        <v>0</v>
      </c>
      <c r="CN18" s="30">
        <v>0</v>
      </c>
      <c r="CO18" s="30">
        <v>0</v>
      </c>
      <c r="CP18" s="30">
        <v>0</v>
      </c>
      <c r="CQ18" s="30">
        <v>0</v>
      </c>
      <c r="CR18" s="30">
        <v>0</v>
      </c>
      <c r="CS18" s="30">
        <v>0</v>
      </c>
      <c r="CT18" s="30">
        <v>0</v>
      </c>
      <c r="CU18" s="30">
        <v>0</v>
      </c>
      <c r="CV18" s="30">
        <v>0</v>
      </c>
      <c r="CW18" s="30">
        <v>0</v>
      </c>
      <c r="CX18" s="30">
        <v>0</v>
      </c>
      <c r="CY18" s="30">
        <v>0</v>
      </c>
      <c r="CZ18" s="30">
        <v>0</v>
      </c>
      <c r="DA18" s="30">
        <v>0</v>
      </c>
      <c r="DB18" s="30">
        <v>0</v>
      </c>
    </row>
    <row r="19" spans="1:106" x14ac:dyDescent="0.45">
      <c r="A19" s="24" t="s">
        <v>208</v>
      </c>
      <c r="B19" s="25" t="s">
        <v>18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6.5590162157346867</v>
      </c>
      <c r="AH19" s="31">
        <v>13.47011951298089</v>
      </c>
      <c r="AI19" s="31">
        <v>20.369408471349061</v>
      </c>
      <c r="AJ19" s="31">
        <v>27.256778826964361</v>
      </c>
      <c r="AK19" s="31">
        <v>34.132125563453201</v>
      </c>
      <c r="AL19" s="31">
        <v>40.995342906336987</v>
      </c>
      <c r="AM19" s="31">
        <v>47.846324317380443</v>
      </c>
      <c r="AN19" s="31">
        <v>54.684962488905171</v>
      </c>
      <c r="AO19" s="31">
        <v>61.511149338051609</v>
      </c>
      <c r="AP19" s="31">
        <v>68.324776001007308</v>
      </c>
      <c r="AQ19" s="31">
        <v>75.125732827186766</v>
      </c>
      <c r="AR19" s="31">
        <v>81.913909373370757</v>
      </c>
      <c r="AS19" s="31">
        <v>88.68919439780052</v>
      </c>
      <c r="AT19" s="31">
        <v>95.451475854230807</v>
      </c>
      <c r="AU19" s="31">
        <v>100.86923066445139</v>
      </c>
      <c r="AV19" s="31">
        <v>105.9211818647526</v>
      </c>
      <c r="AW19" s="31">
        <v>110.9631246196944</v>
      </c>
      <c r="AX19" s="31">
        <v>115.9949724358499</v>
      </c>
      <c r="AY19" s="31">
        <v>121.01663819361769</v>
      </c>
      <c r="AZ19" s="31">
        <v>126.02803414255951</v>
      </c>
      <c r="BA19" s="31">
        <v>131.0290718967008</v>
      </c>
      <c r="BB19" s="31">
        <v>136.01966242979819</v>
      </c>
      <c r="BC19" s="31">
        <v>140.999716070571</v>
      </c>
      <c r="BD19" s="31">
        <v>145.96914249789901</v>
      </c>
      <c r="BE19" s="31">
        <v>150.92785073598219</v>
      </c>
      <c r="BF19" s="31">
        <v>155.875749149467</v>
      </c>
      <c r="BG19" s="31">
        <v>160.81274543853311</v>
      </c>
      <c r="BH19" s="31">
        <v>165.73874663394881</v>
      </c>
      <c r="BI19" s="31">
        <v>170.65365909208529</v>
      </c>
      <c r="BJ19" s="31">
        <v>175.55738848989591</v>
      </c>
      <c r="BK19" s="31">
        <v>180.44983981985851</v>
      </c>
      <c r="BL19" s="31">
        <v>185.33091738487741</v>
      </c>
      <c r="BM19" s="31">
        <v>190.20052479315379</v>
      </c>
      <c r="BN19" s="31">
        <v>195.0585649530104</v>
      </c>
      <c r="BO19" s="31">
        <v>199.90494006768421</v>
      </c>
      <c r="BP19" s="31">
        <v>204.73955163007551</v>
      </c>
      <c r="BQ19" s="31">
        <v>209.56230041746369</v>
      </c>
      <c r="BR19" s="31">
        <v>214.3730864861765</v>
      </c>
      <c r="BS19" s="31">
        <v>219.17180916622829</v>
      </c>
      <c r="BT19" s="31">
        <v>223.9583670559106</v>
      </c>
      <c r="BU19" s="31">
        <v>228.73265801634821</v>
      </c>
      <c r="BV19" s="31">
        <v>233.4945791660123</v>
      </c>
      <c r="BW19" s="31">
        <v>238.24402687519321</v>
      </c>
      <c r="BX19" s="31">
        <v>242.9808967604325</v>
      </c>
      <c r="BY19" s="31">
        <v>247.70508367891389</v>
      </c>
      <c r="BZ19" s="31">
        <v>252.4164817228127</v>
      </c>
      <c r="CA19" s="31">
        <v>694.61498421360227</v>
      </c>
      <c r="CB19" s="31">
        <v>691.57927269272864</v>
      </c>
      <c r="CC19" s="31">
        <v>688.53044992660682</v>
      </c>
      <c r="CD19" s="31">
        <v>685.46840689002647</v>
      </c>
      <c r="CE19" s="31">
        <v>682.39303376387954</v>
      </c>
      <c r="CF19" s="31">
        <v>679.3042199292538</v>
      </c>
      <c r="CG19" s="31">
        <v>676.20185396148236</v>
      </c>
      <c r="CH19" s="31">
        <v>673.08582362414813</v>
      </c>
      <c r="CI19" s="31">
        <v>669.95601586304588</v>
      </c>
      <c r="CJ19" s="31">
        <v>666.81231680009603</v>
      </c>
      <c r="CK19" s="31">
        <v>663.65461172721848</v>
      </c>
      <c r="CL19" s="31">
        <v>660.48278510015643</v>
      </c>
      <c r="CM19" s="31">
        <v>657.29672053225579</v>
      </c>
      <c r="CN19" s="31">
        <v>654.09630078819873</v>
      </c>
      <c r="CO19" s="31">
        <v>650.88140777769274</v>
      </c>
      <c r="CP19" s="31">
        <v>647.65192254910869</v>
      </c>
      <c r="CQ19" s="31">
        <v>644.40772528307514</v>
      </c>
      <c r="CR19" s="31">
        <v>641.14869528602389</v>
      </c>
      <c r="CS19" s="31">
        <v>637.87471098368758</v>
      </c>
      <c r="CT19" s="31">
        <v>634.58564991454955</v>
      </c>
      <c r="CU19" s="31">
        <v>631.28138872324507</v>
      </c>
      <c r="CV19" s="31">
        <v>627.96180315391302</v>
      </c>
      <c r="CW19" s="31">
        <v>624.62676804349906</v>
      </c>
      <c r="CX19" s="31">
        <v>621.27615731500907</v>
      </c>
      <c r="CY19" s="31">
        <v>617.90984397071168</v>
      </c>
      <c r="CZ19" s="31">
        <v>614.52770008529205</v>
      </c>
      <c r="DA19" s="31">
        <v>611.12959679895334</v>
      </c>
      <c r="DB19" s="31">
        <v>607.71540431046697</v>
      </c>
    </row>
    <row r="21" spans="1:106" x14ac:dyDescent="0.45">
      <c r="A21" s="61" t="s">
        <v>209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</row>
    <row r="22" spans="1:106" x14ac:dyDescent="0.45">
      <c r="A22" s="24" t="s">
        <v>210</v>
      </c>
      <c r="B22" s="25" t="s">
        <v>18</v>
      </c>
      <c r="C22" s="30">
        <v>-3375.0000000000009</v>
      </c>
      <c r="D22" s="30">
        <v>-3566.9531250000009</v>
      </c>
      <c r="E22" s="30">
        <v>-3758.9062500000009</v>
      </c>
      <c r="F22" s="30">
        <v>-3950.8593750000009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  <c r="CD22" s="30">
        <v>0</v>
      </c>
      <c r="CE22" s="30">
        <v>0</v>
      </c>
      <c r="CF22" s="30">
        <v>0</v>
      </c>
      <c r="CG22" s="30">
        <v>0</v>
      </c>
      <c r="CH22" s="30">
        <v>0</v>
      </c>
      <c r="CI22" s="30">
        <v>0</v>
      </c>
      <c r="CJ22" s="30">
        <v>0</v>
      </c>
      <c r="CK22" s="30">
        <v>0</v>
      </c>
      <c r="CL22" s="30">
        <v>0</v>
      </c>
      <c r="CM22" s="30">
        <v>0</v>
      </c>
      <c r="CN22" s="30">
        <v>0</v>
      </c>
      <c r="CO22" s="30">
        <v>0</v>
      </c>
      <c r="CP22" s="30">
        <v>0</v>
      </c>
      <c r="CQ22" s="30">
        <v>0</v>
      </c>
      <c r="CR22" s="30">
        <v>0</v>
      </c>
      <c r="CS22" s="30">
        <v>0</v>
      </c>
      <c r="CT22" s="30">
        <v>0</v>
      </c>
      <c r="CU22" s="30">
        <v>0</v>
      </c>
      <c r="CV22" s="30">
        <v>0</v>
      </c>
      <c r="CW22" s="30">
        <v>0</v>
      </c>
      <c r="CX22" s="30">
        <v>0</v>
      </c>
      <c r="CY22" s="30">
        <v>0</v>
      </c>
      <c r="CZ22" s="30">
        <v>0</v>
      </c>
      <c r="DA22" s="30">
        <v>0</v>
      </c>
      <c r="DB22" s="30">
        <v>0</v>
      </c>
    </row>
    <row r="23" spans="1:106" x14ac:dyDescent="0.45">
      <c r="A23" s="27" t="s">
        <v>211</v>
      </c>
      <c r="B23" s="28" t="s">
        <v>18</v>
      </c>
      <c r="C23" s="29">
        <v>-3375.0000000000009</v>
      </c>
      <c r="D23" s="29">
        <v>-3566.9531250000009</v>
      </c>
      <c r="E23" s="29">
        <v>-3758.9062500000009</v>
      </c>
      <c r="F23" s="29">
        <v>-3950.8593750000009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6.5590162157346867</v>
      </c>
      <c r="AH23" s="29">
        <v>13.47011951298089</v>
      </c>
      <c r="AI23" s="29">
        <v>20.369408471349061</v>
      </c>
      <c r="AJ23" s="29">
        <v>27.256778826964361</v>
      </c>
      <c r="AK23" s="29">
        <v>34.132125563453201</v>
      </c>
      <c r="AL23" s="29">
        <v>40.995342906336987</v>
      </c>
      <c r="AM23" s="29">
        <v>47.846324317380443</v>
      </c>
      <c r="AN23" s="29">
        <v>54.684962488905171</v>
      </c>
      <c r="AO23" s="29">
        <v>61.511149338051609</v>
      </c>
      <c r="AP23" s="29">
        <v>68.324776001007308</v>
      </c>
      <c r="AQ23" s="29">
        <v>75.125732827186766</v>
      </c>
      <c r="AR23" s="29">
        <v>81.913909373370757</v>
      </c>
      <c r="AS23" s="29">
        <v>88.68919439780052</v>
      </c>
      <c r="AT23" s="29">
        <v>95.451475854230807</v>
      </c>
      <c r="AU23" s="29">
        <v>100.86923066445139</v>
      </c>
      <c r="AV23" s="29">
        <v>105.9211818647526</v>
      </c>
      <c r="AW23" s="29">
        <v>110.9631246196944</v>
      </c>
      <c r="AX23" s="29">
        <v>115.9949724358499</v>
      </c>
      <c r="AY23" s="29">
        <v>121.01663819361769</v>
      </c>
      <c r="AZ23" s="29">
        <v>126.02803414255951</v>
      </c>
      <c r="BA23" s="29">
        <v>131.0290718967008</v>
      </c>
      <c r="BB23" s="29">
        <v>136.01966242979819</v>
      </c>
      <c r="BC23" s="29">
        <v>140.999716070571</v>
      </c>
      <c r="BD23" s="29">
        <v>145.96914249789901</v>
      </c>
      <c r="BE23" s="29">
        <v>150.92785073598219</v>
      </c>
      <c r="BF23" s="29">
        <v>155.875749149467</v>
      </c>
      <c r="BG23" s="29">
        <v>160.81274543853311</v>
      </c>
      <c r="BH23" s="29">
        <v>165.73874663394881</v>
      </c>
      <c r="BI23" s="29">
        <v>170.65365909208529</v>
      </c>
      <c r="BJ23" s="29">
        <v>175.55738848989591</v>
      </c>
      <c r="BK23" s="29">
        <v>180.44983981985851</v>
      </c>
      <c r="BL23" s="29">
        <v>185.33091738487741</v>
      </c>
      <c r="BM23" s="29">
        <v>190.20052479315379</v>
      </c>
      <c r="BN23" s="29">
        <v>195.0585649530104</v>
      </c>
      <c r="BO23" s="29">
        <v>199.90494006768421</v>
      </c>
      <c r="BP23" s="29">
        <v>204.73955163007551</v>
      </c>
      <c r="BQ23" s="29">
        <v>209.56230041746369</v>
      </c>
      <c r="BR23" s="29">
        <v>214.3730864861765</v>
      </c>
      <c r="BS23" s="29">
        <v>219.17180916622829</v>
      </c>
      <c r="BT23" s="29">
        <v>223.9583670559106</v>
      </c>
      <c r="BU23" s="29">
        <v>228.73265801634821</v>
      </c>
      <c r="BV23" s="29">
        <v>233.4945791660123</v>
      </c>
      <c r="BW23" s="29">
        <v>238.24402687519321</v>
      </c>
      <c r="BX23" s="29">
        <v>242.9808967604325</v>
      </c>
      <c r="BY23" s="29">
        <v>247.70508367891389</v>
      </c>
      <c r="BZ23" s="29">
        <v>252.4164817228127</v>
      </c>
      <c r="CA23" s="29">
        <v>694.61498421360227</v>
      </c>
      <c r="CB23" s="29">
        <v>691.57927269272864</v>
      </c>
      <c r="CC23" s="29">
        <v>688.53044992660682</v>
      </c>
      <c r="CD23" s="29">
        <v>685.46840689002647</v>
      </c>
      <c r="CE23" s="29">
        <v>682.39303376387954</v>
      </c>
      <c r="CF23" s="29">
        <v>679.3042199292538</v>
      </c>
      <c r="CG23" s="29">
        <v>676.20185396148236</v>
      </c>
      <c r="CH23" s="29">
        <v>673.08582362414813</v>
      </c>
      <c r="CI23" s="29">
        <v>669.95601586304588</v>
      </c>
      <c r="CJ23" s="29">
        <v>666.81231680009603</v>
      </c>
      <c r="CK23" s="29">
        <v>663.65461172721848</v>
      </c>
      <c r="CL23" s="29">
        <v>660.48278510015643</v>
      </c>
      <c r="CM23" s="29">
        <v>657.29672053225579</v>
      </c>
      <c r="CN23" s="29">
        <v>654.09630078819873</v>
      </c>
      <c r="CO23" s="29">
        <v>650.88140777769274</v>
      </c>
      <c r="CP23" s="29">
        <v>647.65192254910869</v>
      </c>
      <c r="CQ23" s="29">
        <v>644.40772528307514</v>
      </c>
      <c r="CR23" s="29">
        <v>641.14869528602389</v>
      </c>
      <c r="CS23" s="29">
        <v>637.87471098368758</v>
      </c>
      <c r="CT23" s="29">
        <v>634.58564991454955</v>
      </c>
      <c r="CU23" s="29">
        <v>631.28138872324507</v>
      </c>
      <c r="CV23" s="29">
        <v>627.96180315391302</v>
      </c>
      <c r="CW23" s="29">
        <v>624.62676804349906</v>
      </c>
      <c r="CX23" s="29">
        <v>621.27615731500907</v>
      </c>
      <c r="CY23" s="29">
        <v>617.90984397071168</v>
      </c>
      <c r="CZ23" s="29">
        <v>614.52770008529205</v>
      </c>
      <c r="DA23" s="29">
        <v>611.12959679895334</v>
      </c>
      <c r="DB23" s="29">
        <v>607.71540431046697</v>
      </c>
    </row>
    <row r="24" spans="1:106" x14ac:dyDescent="0.45">
      <c r="A24" s="27" t="s">
        <v>212</v>
      </c>
      <c r="B24" s="28" t="s">
        <v>18</v>
      </c>
      <c r="C24" s="33">
        <v>-11250</v>
      </c>
      <c r="D24" s="33">
        <v>-11250</v>
      </c>
      <c r="E24" s="33">
        <v>-11250</v>
      </c>
      <c r="F24" s="33">
        <v>-11250</v>
      </c>
      <c r="G24" s="33">
        <v>1001.78421925</v>
      </c>
      <c r="H24" s="33">
        <v>998.67328843884923</v>
      </c>
      <c r="I24" s="33">
        <v>995.55300744780402</v>
      </c>
      <c r="J24" s="33">
        <v>992.42328973887754</v>
      </c>
      <c r="K24" s="33">
        <v>989.28404815374995</v>
      </c>
      <c r="L24" s="33">
        <v>986.13519490913768</v>
      </c>
      <c r="M24" s="33">
        <v>982.97664159213355</v>
      </c>
      <c r="N24" s="33">
        <v>979.80829915550862</v>
      </c>
      <c r="O24" s="33">
        <v>976.63007791298128</v>
      </c>
      <c r="P24" s="33">
        <v>973.44188753444882</v>
      </c>
      <c r="Q24" s="33">
        <v>970.24363704118821</v>
      </c>
      <c r="R24" s="33">
        <v>967.03523480101637</v>
      </c>
      <c r="S24" s="33">
        <v>963.81658852341616</v>
      </c>
      <c r="T24" s="33">
        <v>960.58760525462969</v>
      </c>
      <c r="U24" s="33">
        <v>957.3481913727087</v>
      </c>
      <c r="V24" s="33">
        <v>954.09825258253488</v>
      </c>
      <c r="W24" s="33">
        <v>950.83769391079932</v>
      </c>
      <c r="X24" s="33">
        <v>947.56641970094483</v>
      </c>
      <c r="Y24" s="33">
        <v>944.28433360807264</v>
      </c>
      <c r="Z24" s="33">
        <v>940.99133859381163</v>
      </c>
      <c r="AA24" s="33">
        <v>937.68733692114517</v>
      </c>
      <c r="AB24" s="33">
        <v>934.37223014920585</v>
      </c>
      <c r="AC24" s="33">
        <v>931.04591912802721</v>
      </c>
      <c r="AD24" s="33">
        <v>927.70830399325746</v>
      </c>
      <c r="AE24" s="33">
        <v>924.35928416083652</v>
      </c>
      <c r="AF24" s="33">
        <v>920.99875832162877</v>
      </c>
      <c r="AG24" s="33">
        <v>917.62662443602153</v>
      </c>
      <c r="AH24" s="33">
        <v>914.24277972847892</v>
      </c>
      <c r="AI24" s="33">
        <v>910.84712068205818</v>
      </c>
      <c r="AJ24" s="33">
        <v>907.43954303288467</v>
      </c>
      <c r="AK24" s="33">
        <v>904.0199417645847</v>
      </c>
      <c r="AL24" s="33">
        <v>900.58821110267957</v>
      </c>
      <c r="AM24" s="33">
        <v>897.14424450893421</v>
      </c>
      <c r="AN24" s="33">
        <v>893.68793467567014</v>
      </c>
      <c r="AO24" s="33">
        <v>890.21917352002765</v>
      </c>
      <c r="AP24" s="33">
        <v>886.73785217819454</v>
      </c>
      <c r="AQ24" s="33">
        <v>883.24386099958519</v>
      </c>
      <c r="AR24" s="33">
        <v>879.73708954098026</v>
      </c>
      <c r="AS24" s="33">
        <v>876.21742656062122</v>
      </c>
      <c r="AT24" s="33">
        <v>872.6847600122627</v>
      </c>
      <c r="AU24" s="33">
        <v>867.80756681769435</v>
      </c>
      <c r="AV24" s="33">
        <v>862.56457001320678</v>
      </c>
      <c r="AW24" s="33">
        <v>857.3115647633598</v>
      </c>
      <c r="AX24" s="33">
        <v>852.04846457472638</v>
      </c>
      <c r="AY24" s="33">
        <v>846.77518232770524</v>
      </c>
      <c r="AZ24" s="33">
        <v>841.4916302718583</v>
      </c>
      <c r="BA24" s="33">
        <v>836.19772002121067</v>
      </c>
      <c r="BB24" s="33">
        <v>830.89336254951922</v>
      </c>
      <c r="BC24" s="33">
        <v>825.57846818550331</v>
      </c>
      <c r="BD24" s="33">
        <v>820.25294660804241</v>
      </c>
      <c r="BE24" s="33">
        <v>814.9167068413368</v>
      </c>
      <c r="BF24" s="33">
        <v>809.56965725003261</v>
      </c>
      <c r="BG24" s="33">
        <v>804.21170553430977</v>
      </c>
      <c r="BH24" s="33">
        <v>798.84275872493674</v>
      </c>
      <c r="BI24" s="33">
        <v>793.46272317828436</v>
      </c>
      <c r="BJ24" s="33">
        <v>788.07150457130626</v>
      </c>
      <c r="BK24" s="33">
        <v>782.66900789647991</v>
      </c>
      <c r="BL24" s="33">
        <v>777.25513745671003</v>
      </c>
      <c r="BM24" s="33">
        <v>771.82979686019769</v>
      </c>
      <c r="BN24" s="33">
        <v>766.39288901526538</v>
      </c>
      <c r="BO24" s="33">
        <v>760.94431612515018</v>
      </c>
      <c r="BP24" s="33">
        <v>755.48397968275287</v>
      </c>
      <c r="BQ24" s="33">
        <v>750.01178046535199</v>
      </c>
      <c r="BR24" s="33">
        <v>744.52761852927597</v>
      </c>
      <c r="BS24" s="33">
        <v>739.03139320453897</v>
      </c>
      <c r="BT24" s="33">
        <v>733.52300308943234</v>
      </c>
      <c r="BU24" s="33">
        <v>728.00234604508103</v>
      </c>
      <c r="BV24" s="33">
        <v>722.46931918995642</v>
      </c>
      <c r="BW24" s="33">
        <v>716.92381889434853</v>
      </c>
      <c r="BX24" s="33">
        <v>711.36574077479895</v>
      </c>
      <c r="BY24" s="33">
        <v>705.79497968849159</v>
      </c>
      <c r="BZ24" s="33">
        <v>700.2114297276014</v>
      </c>
      <c r="CA24" s="33">
        <v>694.61498421360227</v>
      </c>
      <c r="CB24" s="33">
        <v>691.57927269272864</v>
      </c>
      <c r="CC24" s="33">
        <v>688.53044992660693</v>
      </c>
      <c r="CD24" s="33">
        <v>685.46840689002647</v>
      </c>
      <c r="CE24" s="33">
        <v>682.39303376387954</v>
      </c>
      <c r="CF24" s="33">
        <v>679.30421992925392</v>
      </c>
      <c r="CG24" s="33">
        <v>676.20185396148236</v>
      </c>
      <c r="CH24" s="33">
        <v>673.08582362414825</v>
      </c>
      <c r="CI24" s="33">
        <v>669.95601586304576</v>
      </c>
      <c r="CJ24" s="33">
        <v>666.81231680009603</v>
      </c>
      <c r="CK24" s="33">
        <v>663.65461172721848</v>
      </c>
      <c r="CL24" s="33">
        <v>660.48278510015655</v>
      </c>
      <c r="CM24" s="33">
        <v>657.29672053225579</v>
      </c>
      <c r="CN24" s="33">
        <v>654.09630078819873</v>
      </c>
      <c r="CO24" s="33">
        <v>650.88140777769274</v>
      </c>
      <c r="CP24" s="33">
        <v>647.65192254910869</v>
      </c>
      <c r="CQ24" s="33">
        <v>644.40772528307502</v>
      </c>
      <c r="CR24" s="33">
        <v>641.14869528602389</v>
      </c>
      <c r="CS24" s="33">
        <v>637.87471098368769</v>
      </c>
      <c r="CT24" s="33">
        <v>634.58564991454955</v>
      </c>
      <c r="CU24" s="33">
        <v>631.28138872324507</v>
      </c>
      <c r="CV24" s="33">
        <v>627.96180315391302</v>
      </c>
      <c r="CW24" s="33">
        <v>624.62676804349906</v>
      </c>
      <c r="CX24" s="33">
        <v>621.27615731500907</v>
      </c>
      <c r="CY24" s="33">
        <v>617.90984397071179</v>
      </c>
      <c r="CZ24" s="33">
        <v>614.52770008529205</v>
      </c>
      <c r="DA24" s="33">
        <v>611.12959679895334</v>
      </c>
      <c r="DB24" s="33">
        <v>607.71540431046697</v>
      </c>
    </row>
    <row r="26" spans="1:106" x14ac:dyDescent="0.45">
      <c r="A26" s="61" t="s">
        <v>213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</row>
    <row r="27" spans="1:106" x14ac:dyDescent="0.45">
      <c r="A27" s="24" t="s">
        <v>214</v>
      </c>
      <c r="B27" s="25" t="s">
        <v>18</v>
      </c>
      <c r="C27" s="31">
        <v>11250</v>
      </c>
      <c r="D27" s="31">
        <v>11250</v>
      </c>
      <c r="E27" s="31">
        <v>11250</v>
      </c>
      <c r="F27" s="31">
        <v>11250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</row>
    <row r="28" spans="1:106" x14ac:dyDescent="0.45">
      <c r="A28" s="24" t="s">
        <v>215</v>
      </c>
      <c r="B28" s="25" t="s">
        <v>18</v>
      </c>
      <c r="C28" s="30">
        <v>7874.9999999999991</v>
      </c>
      <c r="D28" s="30">
        <v>7874.9999999999991</v>
      </c>
      <c r="E28" s="30">
        <v>7874.9999999999991</v>
      </c>
      <c r="F28" s="30">
        <v>7874.9999999999991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  <c r="CD28" s="30">
        <v>0</v>
      </c>
      <c r="CE28" s="30">
        <v>0</v>
      </c>
      <c r="CF28" s="30">
        <v>0</v>
      </c>
      <c r="CG28" s="30">
        <v>0</v>
      </c>
      <c r="CH28" s="30">
        <v>0</v>
      </c>
      <c r="CI28" s="30">
        <v>0</v>
      </c>
      <c r="CJ28" s="30">
        <v>0</v>
      </c>
      <c r="CK28" s="30">
        <v>0</v>
      </c>
      <c r="CL28" s="30">
        <v>0</v>
      </c>
      <c r="CM28" s="30">
        <v>0</v>
      </c>
      <c r="CN28" s="30">
        <v>0</v>
      </c>
      <c r="CO28" s="30">
        <v>0</v>
      </c>
      <c r="CP28" s="30">
        <v>0</v>
      </c>
      <c r="CQ28" s="30">
        <v>0</v>
      </c>
      <c r="CR28" s="30">
        <v>0</v>
      </c>
      <c r="CS28" s="30">
        <v>0</v>
      </c>
      <c r="CT28" s="30">
        <v>0</v>
      </c>
      <c r="CU28" s="30">
        <v>0</v>
      </c>
      <c r="CV28" s="30">
        <v>0</v>
      </c>
      <c r="CW28" s="30">
        <v>0</v>
      </c>
      <c r="CX28" s="30">
        <v>0</v>
      </c>
      <c r="CY28" s="30">
        <v>0</v>
      </c>
      <c r="CZ28" s="30">
        <v>0</v>
      </c>
      <c r="DA28" s="30">
        <v>0</v>
      </c>
      <c r="DB28" s="30">
        <v>0</v>
      </c>
    </row>
    <row r="29" spans="1:106" x14ac:dyDescent="0.45">
      <c r="A29" s="24" t="s">
        <v>216</v>
      </c>
      <c r="B29" s="25" t="s">
        <v>18</v>
      </c>
      <c r="C29" s="31">
        <v>0</v>
      </c>
      <c r="D29" s="31">
        <v>191.953125</v>
      </c>
      <c r="E29" s="31">
        <v>383.90624999999989</v>
      </c>
      <c r="F29" s="31">
        <v>575.85937499999989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</row>
    <row r="30" spans="1:106" x14ac:dyDescent="0.45">
      <c r="A30" s="24" t="s">
        <v>217</v>
      </c>
      <c r="B30" s="25" t="s">
        <v>18</v>
      </c>
      <c r="C30" s="30">
        <v>11250</v>
      </c>
      <c r="D30" s="30">
        <v>22500</v>
      </c>
      <c r="E30" s="30">
        <v>33750</v>
      </c>
      <c r="F30" s="30">
        <v>45000</v>
      </c>
      <c r="G30" s="30">
        <v>45000</v>
      </c>
      <c r="H30" s="30">
        <v>45000</v>
      </c>
      <c r="I30" s="30">
        <v>45000</v>
      </c>
      <c r="J30" s="30">
        <v>45000</v>
      </c>
      <c r="K30" s="30">
        <v>45000</v>
      </c>
      <c r="L30" s="30">
        <v>45000</v>
      </c>
      <c r="M30" s="30">
        <v>45000</v>
      </c>
      <c r="N30" s="30">
        <v>45000</v>
      </c>
      <c r="O30" s="30">
        <v>45000</v>
      </c>
      <c r="P30" s="30">
        <v>45000</v>
      </c>
      <c r="Q30" s="30">
        <v>45000</v>
      </c>
      <c r="R30" s="30">
        <v>45000</v>
      </c>
      <c r="S30" s="30">
        <v>45000</v>
      </c>
      <c r="T30" s="30">
        <v>45000</v>
      </c>
      <c r="U30" s="30">
        <v>45000</v>
      </c>
      <c r="V30" s="30">
        <v>45000</v>
      </c>
      <c r="W30" s="30">
        <v>45000</v>
      </c>
      <c r="X30" s="30">
        <v>45000</v>
      </c>
      <c r="Y30" s="30">
        <v>45000</v>
      </c>
      <c r="Z30" s="30">
        <v>45000</v>
      </c>
      <c r="AA30" s="30">
        <v>45000</v>
      </c>
      <c r="AB30" s="30">
        <v>45000</v>
      </c>
      <c r="AC30" s="30">
        <v>45000</v>
      </c>
      <c r="AD30" s="30">
        <v>45000</v>
      </c>
      <c r="AE30" s="30">
        <v>45000</v>
      </c>
      <c r="AF30" s="30">
        <v>45000</v>
      </c>
      <c r="AG30" s="30">
        <v>45000</v>
      </c>
      <c r="AH30" s="30">
        <v>45000</v>
      </c>
      <c r="AI30" s="30">
        <v>45000</v>
      </c>
      <c r="AJ30" s="30">
        <v>45000</v>
      </c>
      <c r="AK30" s="30">
        <v>45000</v>
      </c>
      <c r="AL30" s="30">
        <v>45000</v>
      </c>
      <c r="AM30" s="30">
        <v>45000</v>
      </c>
      <c r="AN30" s="30">
        <v>45000</v>
      </c>
      <c r="AO30" s="30">
        <v>45000</v>
      </c>
      <c r="AP30" s="30">
        <v>45000</v>
      </c>
      <c r="AQ30" s="30">
        <v>45000</v>
      </c>
      <c r="AR30" s="30">
        <v>45000</v>
      </c>
      <c r="AS30" s="30">
        <v>45000</v>
      </c>
      <c r="AT30" s="30">
        <v>45000</v>
      </c>
      <c r="AU30" s="30">
        <v>45000</v>
      </c>
      <c r="AV30" s="30">
        <v>45000</v>
      </c>
      <c r="AW30" s="30">
        <v>45000</v>
      </c>
      <c r="AX30" s="30">
        <v>45000</v>
      </c>
      <c r="AY30" s="30">
        <v>45000</v>
      </c>
      <c r="AZ30" s="30">
        <v>45000</v>
      </c>
      <c r="BA30" s="30">
        <v>45000</v>
      </c>
      <c r="BB30" s="30">
        <v>45000</v>
      </c>
      <c r="BC30" s="30">
        <v>45000</v>
      </c>
      <c r="BD30" s="30">
        <v>45000</v>
      </c>
      <c r="BE30" s="30">
        <v>45000</v>
      </c>
      <c r="BF30" s="30">
        <v>45000</v>
      </c>
      <c r="BG30" s="30">
        <v>45000</v>
      </c>
      <c r="BH30" s="30">
        <v>45000</v>
      </c>
      <c r="BI30" s="30">
        <v>45000</v>
      </c>
      <c r="BJ30" s="30">
        <v>45000</v>
      </c>
      <c r="BK30" s="30">
        <v>45000</v>
      </c>
      <c r="BL30" s="30">
        <v>45000</v>
      </c>
      <c r="BM30" s="30">
        <v>45000</v>
      </c>
      <c r="BN30" s="30">
        <v>45000</v>
      </c>
      <c r="BO30" s="30">
        <v>45000</v>
      </c>
      <c r="BP30" s="30">
        <v>45000</v>
      </c>
      <c r="BQ30" s="30">
        <v>45000</v>
      </c>
      <c r="BR30" s="30">
        <v>45000</v>
      </c>
      <c r="BS30" s="30">
        <v>45000</v>
      </c>
      <c r="BT30" s="30">
        <v>45000</v>
      </c>
      <c r="BU30" s="30">
        <v>45000</v>
      </c>
      <c r="BV30" s="30">
        <v>45000</v>
      </c>
      <c r="BW30" s="30">
        <v>45000</v>
      </c>
      <c r="BX30" s="30">
        <v>45000</v>
      </c>
      <c r="BY30" s="30">
        <v>45000</v>
      </c>
      <c r="BZ30" s="30">
        <v>45000</v>
      </c>
      <c r="CA30" s="30">
        <v>45000</v>
      </c>
      <c r="CB30" s="30">
        <v>45000</v>
      </c>
      <c r="CC30" s="30">
        <v>45000</v>
      </c>
      <c r="CD30" s="30">
        <v>45000</v>
      </c>
      <c r="CE30" s="30">
        <v>45000</v>
      </c>
      <c r="CF30" s="30">
        <v>45000</v>
      </c>
      <c r="CG30" s="30">
        <v>45000</v>
      </c>
      <c r="CH30" s="30">
        <v>45000</v>
      </c>
      <c r="CI30" s="30">
        <v>45000</v>
      </c>
      <c r="CJ30" s="30">
        <v>45000</v>
      </c>
      <c r="CK30" s="30">
        <v>45000</v>
      </c>
      <c r="CL30" s="30">
        <v>45000</v>
      </c>
      <c r="CM30" s="30">
        <v>45000</v>
      </c>
      <c r="CN30" s="30">
        <v>45000</v>
      </c>
      <c r="CO30" s="30">
        <v>45000</v>
      </c>
      <c r="CP30" s="30">
        <v>45000</v>
      </c>
      <c r="CQ30" s="30">
        <v>45000</v>
      </c>
      <c r="CR30" s="30">
        <v>45000</v>
      </c>
      <c r="CS30" s="30">
        <v>45000</v>
      </c>
      <c r="CT30" s="30">
        <v>45000</v>
      </c>
      <c r="CU30" s="30">
        <v>45000</v>
      </c>
      <c r="CV30" s="30">
        <v>45000</v>
      </c>
      <c r="CW30" s="30">
        <v>45000</v>
      </c>
      <c r="CX30" s="30">
        <v>45000</v>
      </c>
      <c r="CY30" s="30">
        <v>45000</v>
      </c>
      <c r="CZ30" s="30">
        <v>45000</v>
      </c>
      <c r="DA30" s="30">
        <v>45000</v>
      </c>
      <c r="DB30" s="30">
        <v>45000</v>
      </c>
    </row>
  </sheetData>
  <mergeCells count="6">
    <mergeCell ref="A1:DB1"/>
    <mergeCell ref="A9:DB9"/>
    <mergeCell ref="A3:DB3"/>
    <mergeCell ref="A21:DB21"/>
    <mergeCell ref="A26:DB26"/>
    <mergeCell ref="A15:D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B23"/>
  <sheetViews>
    <sheetView showGridLines="0" workbookViewId="0">
      <pane xSplit="2" ySplit="2" topLeftCell="E3" activePane="bottomRight" state="frozen"/>
      <selection pane="topRight"/>
      <selection pane="bottomLeft"/>
      <selection pane="bottomRight" activeCell="AA23" sqref="AA23"/>
    </sheetView>
  </sheetViews>
  <sheetFormatPr defaultRowHeight="14.25" x14ac:dyDescent="0.45"/>
  <cols>
    <col min="1" max="1" width="32" customWidth="1"/>
    <col min="2" max="2" width="12" customWidth="1"/>
    <col min="3" max="106" width="11" customWidth="1"/>
  </cols>
  <sheetData>
    <row r="1" spans="1:106" ht="28.05" customHeight="1" x14ac:dyDescent="0.45">
      <c r="A1" s="60" t="s">
        <v>218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</row>
    <row r="2" spans="1:106" x14ac:dyDescent="0.45">
      <c r="A2" s="21" t="s">
        <v>68</v>
      </c>
      <c r="B2" s="21" t="s">
        <v>69</v>
      </c>
      <c r="C2" s="22" t="s">
        <v>70</v>
      </c>
      <c r="D2" s="22" t="s">
        <v>71</v>
      </c>
      <c r="E2" s="22" t="s">
        <v>72</v>
      </c>
      <c r="F2" s="22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23" t="s">
        <v>78</v>
      </c>
      <c r="L2" s="23" t="s">
        <v>79</v>
      </c>
      <c r="M2" s="23" t="s">
        <v>80</v>
      </c>
      <c r="N2" s="23" t="s">
        <v>81</v>
      </c>
      <c r="O2" s="23" t="s">
        <v>82</v>
      </c>
      <c r="P2" s="23" t="s">
        <v>83</v>
      </c>
      <c r="Q2" s="23" t="s">
        <v>84</v>
      </c>
      <c r="R2" s="23" t="s">
        <v>85</v>
      </c>
      <c r="S2" s="23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3" t="s">
        <v>91</v>
      </c>
      <c r="Y2" s="23" t="s">
        <v>92</v>
      </c>
      <c r="Z2" s="23" t="s">
        <v>93</v>
      </c>
      <c r="AA2" s="23" t="s">
        <v>94</v>
      </c>
      <c r="AB2" s="23" t="s">
        <v>95</v>
      </c>
      <c r="AC2" s="23" t="s">
        <v>96</v>
      </c>
      <c r="AD2" s="23" t="s">
        <v>97</v>
      </c>
      <c r="AE2" s="23" t="s">
        <v>98</v>
      </c>
      <c r="AF2" s="23" t="s">
        <v>99</v>
      </c>
      <c r="AG2" s="23" t="s">
        <v>100</v>
      </c>
      <c r="AH2" s="23" t="s">
        <v>101</v>
      </c>
      <c r="AI2" s="23" t="s">
        <v>102</v>
      </c>
      <c r="AJ2" s="23" t="s">
        <v>103</v>
      </c>
      <c r="AK2" s="23" t="s">
        <v>104</v>
      </c>
      <c r="AL2" s="23" t="s">
        <v>105</v>
      </c>
      <c r="AM2" s="23" t="s">
        <v>106</v>
      </c>
      <c r="AN2" s="23" t="s">
        <v>107</v>
      </c>
      <c r="AO2" s="23" t="s">
        <v>108</v>
      </c>
      <c r="AP2" s="23" t="s">
        <v>109</v>
      </c>
      <c r="AQ2" s="23" t="s">
        <v>110</v>
      </c>
      <c r="AR2" s="23" t="s">
        <v>111</v>
      </c>
      <c r="AS2" s="23" t="s">
        <v>112</v>
      </c>
      <c r="AT2" s="23" t="s">
        <v>113</v>
      </c>
      <c r="AU2" s="23" t="s">
        <v>114</v>
      </c>
      <c r="AV2" s="23" t="s">
        <v>115</v>
      </c>
      <c r="AW2" s="23" t="s">
        <v>116</v>
      </c>
      <c r="AX2" s="23" t="s">
        <v>117</v>
      </c>
      <c r="AY2" s="23" t="s">
        <v>118</v>
      </c>
      <c r="AZ2" s="23" t="s">
        <v>119</v>
      </c>
      <c r="BA2" s="23" t="s">
        <v>120</v>
      </c>
      <c r="BB2" s="23" t="s">
        <v>121</v>
      </c>
      <c r="BC2" s="23" t="s">
        <v>122</v>
      </c>
      <c r="BD2" s="23" t="s">
        <v>123</v>
      </c>
      <c r="BE2" s="23" t="s">
        <v>124</v>
      </c>
      <c r="BF2" s="23" t="s">
        <v>125</v>
      </c>
      <c r="BG2" s="23" t="s">
        <v>126</v>
      </c>
      <c r="BH2" s="23" t="s">
        <v>127</v>
      </c>
      <c r="BI2" s="23" t="s">
        <v>128</v>
      </c>
      <c r="BJ2" s="23" t="s">
        <v>129</v>
      </c>
      <c r="BK2" s="23" t="s">
        <v>130</v>
      </c>
      <c r="BL2" s="23" t="s">
        <v>131</v>
      </c>
      <c r="BM2" s="23" t="s">
        <v>132</v>
      </c>
      <c r="BN2" s="23" t="s">
        <v>133</v>
      </c>
      <c r="BO2" s="23" t="s">
        <v>134</v>
      </c>
      <c r="BP2" s="23" t="s">
        <v>135</v>
      </c>
      <c r="BQ2" s="23" t="s">
        <v>136</v>
      </c>
      <c r="BR2" s="23" t="s">
        <v>137</v>
      </c>
      <c r="BS2" s="23" t="s">
        <v>138</v>
      </c>
      <c r="BT2" s="23" t="s">
        <v>139</v>
      </c>
      <c r="BU2" s="23" t="s">
        <v>140</v>
      </c>
      <c r="BV2" s="23" t="s">
        <v>141</v>
      </c>
      <c r="BW2" s="23" t="s">
        <v>142</v>
      </c>
      <c r="BX2" s="23" t="s">
        <v>143</v>
      </c>
      <c r="BY2" s="23" t="s">
        <v>144</v>
      </c>
      <c r="BZ2" s="23" t="s">
        <v>145</v>
      </c>
      <c r="CA2" s="23" t="s">
        <v>146</v>
      </c>
      <c r="CB2" s="23" t="s">
        <v>147</v>
      </c>
      <c r="CC2" s="23" t="s">
        <v>148</v>
      </c>
      <c r="CD2" s="23" t="s">
        <v>149</v>
      </c>
      <c r="CE2" s="23" t="s">
        <v>150</v>
      </c>
      <c r="CF2" s="23" t="s">
        <v>151</v>
      </c>
      <c r="CG2" s="23" t="s">
        <v>152</v>
      </c>
      <c r="CH2" s="23" t="s">
        <v>153</v>
      </c>
      <c r="CI2" s="23" t="s">
        <v>154</v>
      </c>
      <c r="CJ2" s="23" t="s">
        <v>155</v>
      </c>
      <c r="CK2" s="23" t="s">
        <v>156</v>
      </c>
      <c r="CL2" s="23" t="s">
        <v>157</v>
      </c>
      <c r="CM2" s="23" t="s">
        <v>158</v>
      </c>
      <c r="CN2" s="23" t="s">
        <v>159</v>
      </c>
      <c r="CO2" s="23" t="s">
        <v>160</v>
      </c>
      <c r="CP2" s="23" t="s">
        <v>161</v>
      </c>
      <c r="CQ2" s="23" t="s">
        <v>162</v>
      </c>
      <c r="CR2" s="23" t="s">
        <v>163</v>
      </c>
      <c r="CS2" s="23" t="s">
        <v>164</v>
      </c>
      <c r="CT2" s="23" t="s">
        <v>165</v>
      </c>
      <c r="CU2" s="23" t="s">
        <v>166</v>
      </c>
      <c r="CV2" s="23" t="s">
        <v>167</v>
      </c>
      <c r="CW2" s="23" t="s">
        <v>168</v>
      </c>
      <c r="CX2" s="23" t="s">
        <v>169</v>
      </c>
      <c r="CY2" s="23" t="s">
        <v>170</v>
      </c>
      <c r="CZ2" s="23" t="s">
        <v>171</v>
      </c>
      <c r="DA2" s="23" t="s">
        <v>172</v>
      </c>
      <c r="DB2" s="23" t="s">
        <v>173</v>
      </c>
    </row>
    <row r="3" spans="1:106" x14ac:dyDescent="0.45">
      <c r="A3" s="61" t="s">
        <v>219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</row>
    <row r="4" spans="1:106" x14ac:dyDescent="0.45">
      <c r="A4" s="27" t="s">
        <v>220</v>
      </c>
      <c r="B4" s="28" t="s">
        <v>18</v>
      </c>
      <c r="C4" s="33">
        <v>45000</v>
      </c>
      <c r="D4" s="33">
        <v>45000</v>
      </c>
      <c r="E4" s="33">
        <v>45000</v>
      </c>
      <c r="F4" s="33">
        <v>45000</v>
      </c>
      <c r="G4" s="33">
        <v>45000</v>
      </c>
      <c r="H4" s="33">
        <v>45000</v>
      </c>
      <c r="I4" s="33">
        <v>45000</v>
      </c>
      <c r="J4" s="33">
        <v>45000</v>
      </c>
      <c r="K4" s="33">
        <v>45000</v>
      </c>
      <c r="L4" s="33">
        <v>45000</v>
      </c>
      <c r="M4" s="33">
        <v>45000</v>
      </c>
      <c r="N4" s="33">
        <v>45000</v>
      </c>
      <c r="O4" s="33">
        <v>45000</v>
      </c>
      <c r="P4" s="33">
        <v>45000</v>
      </c>
      <c r="Q4" s="33">
        <v>45000</v>
      </c>
      <c r="R4" s="33">
        <v>45000</v>
      </c>
      <c r="S4" s="33">
        <v>45000</v>
      </c>
      <c r="T4" s="33">
        <v>45000</v>
      </c>
      <c r="U4" s="33">
        <v>45000</v>
      </c>
      <c r="V4" s="33">
        <v>45000</v>
      </c>
      <c r="W4" s="33">
        <v>45000</v>
      </c>
      <c r="X4" s="33">
        <v>45000</v>
      </c>
      <c r="Y4" s="33">
        <v>45000</v>
      </c>
      <c r="Z4" s="33">
        <v>45000</v>
      </c>
      <c r="AA4" s="33">
        <v>45000</v>
      </c>
      <c r="AB4" s="33">
        <v>45000</v>
      </c>
      <c r="AC4" s="33">
        <v>45000</v>
      </c>
      <c r="AD4" s="33">
        <v>45000</v>
      </c>
      <c r="AE4" s="33">
        <v>45000</v>
      </c>
      <c r="AF4" s="33">
        <v>45000</v>
      </c>
      <c r="AG4" s="33">
        <v>45000</v>
      </c>
      <c r="AH4" s="33">
        <v>45000</v>
      </c>
      <c r="AI4" s="33">
        <v>45000</v>
      </c>
      <c r="AJ4" s="33">
        <v>45000</v>
      </c>
      <c r="AK4" s="33">
        <v>45000</v>
      </c>
      <c r="AL4" s="33">
        <v>45000</v>
      </c>
      <c r="AM4" s="33">
        <v>45000</v>
      </c>
      <c r="AN4" s="33">
        <v>45000</v>
      </c>
      <c r="AO4" s="33">
        <v>45000</v>
      </c>
      <c r="AP4" s="33">
        <v>45000</v>
      </c>
      <c r="AQ4" s="33">
        <v>45000</v>
      </c>
      <c r="AR4" s="33">
        <v>45000</v>
      </c>
      <c r="AS4" s="33">
        <v>45000</v>
      </c>
      <c r="AT4" s="33">
        <v>45000</v>
      </c>
      <c r="AU4" s="33">
        <v>45000</v>
      </c>
      <c r="AV4" s="33">
        <v>45000</v>
      </c>
      <c r="AW4" s="33">
        <v>45000</v>
      </c>
      <c r="AX4" s="33">
        <v>45000</v>
      </c>
      <c r="AY4" s="33">
        <v>45000</v>
      </c>
      <c r="AZ4" s="33">
        <v>45000</v>
      </c>
      <c r="BA4" s="33">
        <v>45000</v>
      </c>
      <c r="BB4" s="33">
        <v>45000</v>
      </c>
      <c r="BC4" s="33">
        <v>45000</v>
      </c>
      <c r="BD4" s="33">
        <v>45000</v>
      </c>
      <c r="BE4" s="33">
        <v>45000</v>
      </c>
      <c r="BF4" s="33">
        <v>45000</v>
      </c>
      <c r="BG4" s="33">
        <v>45000</v>
      </c>
      <c r="BH4" s="33">
        <v>45000</v>
      </c>
      <c r="BI4" s="33">
        <v>45000</v>
      </c>
      <c r="BJ4" s="33">
        <v>45000</v>
      </c>
      <c r="BK4" s="33">
        <v>45000</v>
      </c>
      <c r="BL4" s="33">
        <v>45000</v>
      </c>
      <c r="BM4" s="33">
        <v>45000</v>
      </c>
      <c r="BN4" s="33">
        <v>45000</v>
      </c>
      <c r="BO4" s="33">
        <v>45000</v>
      </c>
      <c r="BP4" s="33">
        <v>45000</v>
      </c>
      <c r="BQ4" s="33">
        <v>45000</v>
      </c>
      <c r="BR4" s="33">
        <v>45000</v>
      </c>
      <c r="BS4" s="33">
        <v>45000</v>
      </c>
      <c r="BT4" s="33">
        <v>45000</v>
      </c>
      <c r="BU4" s="33">
        <v>45000</v>
      </c>
      <c r="BV4" s="33">
        <v>45000</v>
      </c>
      <c r="BW4" s="33">
        <v>45000</v>
      </c>
      <c r="BX4" s="33">
        <v>45000</v>
      </c>
      <c r="BY4" s="33">
        <v>45000</v>
      </c>
      <c r="BZ4" s="33">
        <v>45000</v>
      </c>
      <c r="CA4" s="33">
        <v>45000</v>
      </c>
      <c r="CB4" s="33">
        <v>45000</v>
      </c>
      <c r="CC4" s="33">
        <v>45000</v>
      </c>
      <c r="CD4" s="33">
        <v>45000</v>
      </c>
      <c r="CE4" s="33">
        <v>45000</v>
      </c>
      <c r="CF4" s="33">
        <v>45000</v>
      </c>
      <c r="CG4" s="33">
        <v>45000</v>
      </c>
      <c r="CH4" s="33">
        <v>45000</v>
      </c>
      <c r="CI4" s="33">
        <v>45000</v>
      </c>
      <c r="CJ4" s="33">
        <v>45000</v>
      </c>
      <c r="CK4" s="33">
        <v>45000</v>
      </c>
      <c r="CL4" s="33">
        <v>45000</v>
      </c>
      <c r="CM4" s="33">
        <v>45000</v>
      </c>
      <c r="CN4" s="33">
        <v>45000</v>
      </c>
      <c r="CO4" s="33">
        <v>45000</v>
      </c>
      <c r="CP4" s="33">
        <v>45000</v>
      </c>
      <c r="CQ4" s="33">
        <v>45000</v>
      </c>
      <c r="CR4" s="33">
        <v>45000</v>
      </c>
      <c r="CS4" s="33">
        <v>45000</v>
      </c>
      <c r="CT4" s="33">
        <v>45000</v>
      </c>
      <c r="CU4" s="33">
        <v>45000</v>
      </c>
      <c r="CV4" s="33">
        <v>45000</v>
      </c>
      <c r="CW4" s="33">
        <v>45000</v>
      </c>
      <c r="CX4" s="33">
        <v>45000</v>
      </c>
      <c r="CY4" s="33">
        <v>45000</v>
      </c>
      <c r="CZ4" s="33">
        <v>45000</v>
      </c>
      <c r="DA4" s="33">
        <v>45000</v>
      </c>
      <c r="DB4" s="33">
        <v>45000</v>
      </c>
    </row>
    <row r="5" spans="1:106" x14ac:dyDescent="0.45">
      <c r="A5" s="24" t="s">
        <v>221</v>
      </c>
      <c r="B5" s="25" t="s">
        <v>18</v>
      </c>
      <c r="C5" s="31">
        <v>31500</v>
      </c>
      <c r="D5" s="31">
        <v>31500</v>
      </c>
      <c r="E5" s="31">
        <v>31500</v>
      </c>
      <c r="F5" s="31">
        <v>31500</v>
      </c>
      <c r="G5" s="31">
        <v>31500</v>
      </c>
      <c r="H5" s="31">
        <v>31500</v>
      </c>
      <c r="I5" s="31">
        <v>31500</v>
      </c>
      <c r="J5" s="31">
        <v>31500</v>
      </c>
      <c r="K5" s="31">
        <v>31500</v>
      </c>
      <c r="L5" s="31">
        <v>31500</v>
      </c>
      <c r="M5" s="31">
        <v>31500</v>
      </c>
      <c r="N5" s="31">
        <v>31500</v>
      </c>
      <c r="O5" s="31">
        <v>31500</v>
      </c>
      <c r="P5" s="31">
        <v>31500</v>
      </c>
      <c r="Q5" s="31">
        <v>31500</v>
      </c>
      <c r="R5" s="31">
        <v>31500</v>
      </c>
      <c r="S5" s="31">
        <v>31500</v>
      </c>
      <c r="T5" s="31">
        <v>31500</v>
      </c>
      <c r="U5" s="31">
        <v>31500</v>
      </c>
      <c r="V5" s="31">
        <v>31500</v>
      </c>
      <c r="W5" s="31">
        <v>31500</v>
      </c>
      <c r="X5" s="31">
        <v>31500</v>
      </c>
      <c r="Y5" s="31">
        <v>31500</v>
      </c>
      <c r="Z5" s="31">
        <v>31500</v>
      </c>
      <c r="AA5" s="31">
        <v>31500</v>
      </c>
      <c r="AB5" s="31">
        <v>31500</v>
      </c>
      <c r="AC5" s="31">
        <v>31500</v>
      </c>
      <c r="AD5" s="31">
        <v>31500</v>
      </c>
      <c r="AE5" s="31">
        <v>31500</v>
      </c>
      <c r="AF5" s="31">
        <v>31500</v>
      </c>
      <c r="AG5" s="31">
        <v>31500</v>
      </c>
      <c r="AH5" s="31">
        <v>31500</v>
      </c>
      <c r="AI5" s="31">
        <v>31500</v>
      </c>
      <c r="AJ5" s="31">
        <v>31500</v>
      </c>
      <c r="AK5" s="31">
        <v>31500</v>
      </c>
      <c r="AL5" s="31">
        <v>31500</v>
      </c>
      <c r="AM5" s="31">
        <v>31500</v>
      </c>
      <c r="AN5" s="31">
        <v>31500</v>
      </c>
      <c r="AO5" s="31">
        <v>31500</v>
      </c>
      <c r="AP5" s="31">
        <v>31500</v>
      </c>
      <c r="AQ5" s="31">
        <v>31500</v>
      </c>
      <c r="AR5" s="31">
        <v>31500</v>
      </c>
      <c r="AS5" s="31">
        <v>31500</v>
      </c>
      <c r="AT5" s="31">
        <v>31500</v>
      </c>
      <c r="AU5" s="31">
        <v>31500</v>
      </c>
      <c r="AV5" s="31">
        <v>31500</v>
      </c>
      <c r="AW5" s="31">
        <v>31500</v>
      </c>
      <c r="AX5" s="31">
        <v>31500</v>
      </c>
      <c r="AY5" s="31">
        <v>31500</v>
      </c>
      <c r="AZ5" s="31">
        <v>31500</v>
      </c>
      <c r="BA5" s="31">
        <v>31500</v>
      </c>
      <c r="BB5" s="31">
        <v>31500</v>
      </c>
      <c r="BC5" s="31">
        <v>31500</v>
      </c>
      <c r="BD5" s="31">
        <v>31500</v>
      </c>
      <c r="BE5" s="31">
        <v>31500</v>
      </c>
      <c r="BF5" s="31">
        <v>31500</v>
      </c>
      <c r="BG5" s="31">
        <v>31500</v>
      </c>
      <c r="BH5" s="31">
        <v>31500</v>
      </c>
      <c r="BI5" s="31">
        <v>31500</v>
      </c>
      <c r="BJ5" s="31">
        <v>31500</v>
      </c>
      <c r="BK5" s="31">
        <v>31500</v>
      </c>
      <c r="BL5" s="31">
        <v>31500</v>
      </c>
      <c r="BM5" s="31">
        <v>31500</v>
      </c>
      <c r="BN5" s="31">
        <v>31500</v>
      </c>
      <c r="BO5" s="31">
        <v>31500</v>
      </c>
      <c r="BP5" s="31">
        <v>31500</v>
      </c>
      <c r="BQ5" s="31">
        <v>31500</v>
      </c>
      <c r="BR5" s="31">
        <v>31500</v>
      </c>
      <c r="BS5" s="31">
        <v>31500</v>
      </c>
      <c r="BT5" s="31">
        <v>31500</v>
      </c>
      <c r="BU5" s="31">
        <v>31500</v>
      </c>
      <c r="BV5" s="31">
        <v>31500</v>
      </c>
      <c r="BW5" s="31">
        <v>31500</v>
      </c>
      <c r="BX5" s="31">
        <v>31500</v>
      </c>
      <c r="BY5" s="31">
        <v>31500</v>
      </c>
      <c r="BZ5" s="31">
        <v>31500</v>
      </c>
      <c r="CA5" s="31">
        <v>31500</v>
      </c>
      <c r="CB5" s="31">
        <v>31500</v>
      </c>
      <c r="CC5" s="31">
        <v>31500</v>
      </c>
      <c r="CD5" s="31">
        <v>31500</v>
      </c>
      <c r="CE5" s="31">
        <v>31500</v>
      </c>
      <c r="CF5" s="31">
        <v>31500</v>
      </c>
      <c r="CG5" s="31">
        <v>31500</v>
      </c>
      <c r="CH5" s="31">
        <v>31500</v>
      </c>
      <c r="CI5" s="31">
        <v>31500</v>
      </c>
      <c r="CJ5" s="31">
        <v>31500</v>
      </c>
      <c r="CK5" s="31">
        <v>31500</v>
      </c>
      <c r="CL5" s="31">
        <v>31500</v>
      </c>
      <c r="CM5" s="31">
        <v>31500</v>
      </c>
      <c r="CN5" s="31">
        <v>31500</v>
      </c>
      <c r="CO5" s="31">
        <v>31500</v>
      </c>
      <c r="CP5" s="31">
        <v>31500</v>
      </c>
      <c r="CQ5" s="31">
        <v>31500</v>
      </c>
      <c r="CR5" s="31">
        <v>31500</v>
      </c>
      <c r="CS5" s="31">
        <v>31500</v>
      </c>
      <c r="CT5" s="31">
        <v>31500</v>
      </c>
      <c r="CU5" s="31">
        <v>31500</v>
      </c>
      <c r="CV5" s="31">
        <v>31500</v>
      </c>
      <c r="CW5" s="31">
        <v>31500</v>
      </c>
      <c r="CX5" s="31">
        <v>31500</v>
      </c>
      <c r="CY5" s="31">
        <v>31500</v>
      </c>
      <c r="CZ5" s="31">
        <v>31500</v>
      </c>
      <c r="DA5" s="31">
        <v>31500</v>
      </c>
      <c r="DB5" s="31">
        <v>31500</v>
      </c>
    </row>
    <row r="6" spans="1:106" x14ac:dyDescent="0.45">
      <c r="A6" s="24" t="s">
        <v>222</v>
      </c>
      <c r="B6" s="25" t="s">
        <v>18</v>
      </c>
      <c r="C6" s="30">
        <v>13500</v>
      </c>
      <c r="D6" s="30">
        <v>13500</v>
      </c>
      <c r="E6" s="30">
        <v>13500</v>
      </c>
      <c r="F6" s="30">
        <v>13500</v>
      </c>
      <c r="G6" s="30">
        <v>13500</v>
      </c>
      <c r="H6" s="30">
        <v>13500</v>
      </c>
      <c r="I6" s="30">
        <v>13500</v>
      </c>
      <c r="J6" s="30">
        <v>13500</v>
      </c>
      <c r="K6" s="30">
        <v>13500</v>
      </c>
      <c r="L6" s="30">
        <v>13500</v>
      </c>
      <c r="M6" s="30">
        <v>13500</v>
      </c>
      <c r="N6" s="30">
        <v>13500</v>
      </c>
      <c r="O6" s="30">
        <v>13500</v>
      </c>
      <c r="P6" s="30">
        <v>13500</v>
      </c>
      <c r="Q6" s="30">
        <v>13500</v>
      </c>
      <c r="R6" s="30">
        <v>13500</v>
      </c>
      <c r="S6" s="30">
        <v>13500</v>
      </c>
      <c r="T6" s="30">
        <v>13500</v>
      </c>
      <c r="U6" s="30">
        <v>13500</v>
      </c>
      <c r="V6" s="30">
        <v>13500</v>
      </c>
      <c r="W6" s="30">
        <v>13500</v>
      </c>
      <c r="X6" s="30">
        <v>13500</v>
      </c>
      <c r="Y6" s="30">
        <v>13500</v>
      </c>
      <c r="Z6" s="30">
        <v>13500</v>
      </c>
      <c r="AA6" s="30">
        <v>13500</v>
      </c>
      <c r="AB6" s="30">
        <v>13500</v>
      </c>
      <c r="AC6" s="30">
        <v>13500</v>
      </c>
      <c r="AD6" s="30">
        <v>13500</v>
      </c>
      <c r="AE6" s="30">
        <v>13500</v>
      </c>
      <c r="AF6" s="30">
        <v>13500</v>
      </c>
      <c r="AG6" s="30">
        <v>13500</v>
      </c>
      <c r="AH6" s="30">
        <v>13500</v>
      </c>
      <c r="AI6" s="30">
        <v>13500</v>
      </c>
      <c r="AJ6" s="30">
        <v>13500</v>
      </c>
      <c r="AK6" s="30">
        <v>13500</v>
      </c>
      <c r="AL6" s="30">
        <v>13500</v>
      </c>
      <c r="AM6" s="30">
        <v>13500</v>
      </c>
      <c r="AN6" s="30">
        <v>13500</v>
      </c>
      <c r="AO6" s="30">
        <v>13500</v>
      </c>
      <c r="AP6" s="30">
        <v>13500</v>
      </c>
      <c r="AQ6" s="30">
        <v>13500</v>
      </c>
      <c r="AR6" s="30">
        <v>13500</v>
      </c>
      <c r="AS6" s="30">
        <v>13500</v>
      </c>
      <c r="AT6" s="30">
        <v>13500</v>
      </c>
      <c r="AU6" s="30">
        <v>13500</v>
      </c>
      <c r="AV6" s="30">
        <v>13500</v>
      </c>
      <c r="AW6" s="30">
        <v>13500</v>
      </c>
      <c r="AX6" s="30">
        <v>13500</v>
      </c>
      <c r="AY6" s="30">
        <v>13500</v>
      </c>
      <c r="AZ6" s="30">
        <v>13500</v>
      </c>
      <c r="BA6" s="30">
        <v>13500</v>
      </c>
      <c r="BB6" s="30">
        <v>13500</v>
      </c>
      <c r="BC6" s="30">
        <v>13500</v>
      </c>
      <c r="BD6" s="30">
        <v>13500</v>
      </c>
      <c r="BE6" s="30">
        <v>13500</v>
      </c>
      <c r="BF6" s="30">
        <v>13500</v>
      </c>
      <c r="BG6" s="30">
        <v>13500</v>
      </c>
      <c r="BH6" s="30">
        <v>13500</v>
      </c>
      <c r="BI6" s="30">
        <v>13500</v>
      </c>
      <c r="BJ6" s="30">
        <v>13500</v>
      </c>
      <c r="BK6" s="30">
        <v>13500</v>
      </c>
      <c r="BL6" s="30">
        <v>13500</v>
      </c>
      <c r="BM6" s="30">
        <v>13500</v>
      </c>
      <c r="BN6" s="30">
        <v>13500</v>
      </c>
      <c r="BO6" s="30">
        <v>13500</v>
      </c>
      <c r="BP6" s="30">
        <v>13500</v>
      </c>
      <c r="BQ6" s="30">
        <v>13500</v>
      </c>
      <c r="BR6" s="30">
        <v>13500</v>
      </c>
      <c r="BS6" s="30">
        <v>13500</v>
      </c>
      <c r="BT6" s="30">
        <v>13500</v>
      </c>
      <c r="BU6" s="30">
        <v>13500</v>
      </c>
      <c r="BV6" s="30">
        <v>13500</v>
      </c>
      <c r="BW6" s="30">
        <v>13500</v>
      </c>
      <c r="BX6" s="30">
        <v>13500</v>
      </c>
      <c r="BY6" s="30">
        <v>13500</v>
      </c>
      <c r="BZ6" s="30">
        <v>13500</v>
      </c>
      <c r="CA6" s="30">
        <v>13500</v>
      </c>
      <c r="CB6" s="30">
        <v>13500</v>
      </c>
      <c r="CC6" s="30">
        <v>13500</v>
      </c>
      <c r="CD6" s="30">
        <v>13500</v>
      </c>
      <c r="CE6" s="30">
        <v>13500</v>
      </c>
      <c r="CF6" s="30">
        <v>13500</v>
      </c>
      <c r="CG6" s="30">
        <v>13500</v>
      </c>
      <c r="CH6" s="30">
        <v>13500</v>
      </c>
      <c r="CI6" s="30">
        <v>13500</v>
      </c>
      <c r="CJ6" s="30">
        <v>13500</v>
      </c>
      <c r="CK6" s="30">
        <v>13500</v>
      </c>
      <c r="CL6" s="30">
        <v>13500</v>
      </c>
      <c r="CM6" s="30">
        <v>13500</v>
      </c>
      <c r="CN6" s="30">
        <v>13500</v>
      </c>
      <c r="CO6" s="30">
        <v>13500</v>
      </c>
      <c r="CP6" s="30">
        <v>13500</v>
      </c>
      <c r="CQ6" s="30">
        <v>13500</v>
      </c>
      <c r="CR6" s="30">
        <v>13500</v>
      </c>
      <c r="CS6" s="30">
        <v>13500</v>
      </c>
      <c r="CT6" s="30">
        <v>13500</v>
      </c>
      <c r="CU6" s="30">
        <v>13500</v>
      </c>
      <c r="CV6" s="30">
        <v>13500</v>
      </c>
      <c r="CW6" s="30">
        <v>13500</v>
      </c>
      <c r="CX6" s="30">
        <v>13500</v>
      </c>
      <c r="CY6" s="30">
        <v>13500</v>
      </c>
      <c r="CZ6" s="30">
        <v>13500</v>
      </c>
      <c r="DA6" s="30">
        <v>13500</v>
      </c>
      <c r="DB6" s="30">
        <v>13500</v>
      </c>
    </row>
    <row r="8" spans="1:106" x14ac:dyDescent="0.45">
      <c r="A8" s="61" t="s">
        <v>223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</row>
    <row r="9" spans="1:106" x14ac:dyDescent="0.45">
      <c r="A9" s="24" t="s">
        <v>215</v>
      </c>
      <c r="B9" s="25" t="s">
        <v>18</v>
      </c>
      <c r="C9" s="31">
        <v>7874.9999999999991</v>
      </c>
      <c r="D9" s="31">
        <v>7874.9999999999991</v>
      </c>
      <c r="E9" s="31">
        <v>7874.9999999999991</v>
      </c>
      <c r="F9" s="31">
        <v>7874.9999999999991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0</v>
      </c>
      <c r="BN9" s="31">
        <v>0</v>
      </c>
      <c r="BO9" s="31">
        <v>0</v>
      </c>
      <c r="BP9" s="31">
        <v>0</v>
      </c>
      <c r="BQ9" s="31">
        <v>0</v>
      </c>
      <c r="BR9" s="31">
        <v>0</v>
      </c>
      <c r="BS9" s="31">
        <v>0</v>
      </c>
      <c r="BT9" s="31">
        <v>0</v>
      </c>
      <c r="BU9" s="31">
        <v>0</v>
      </c>
      <c r="BV9" s="31">
        <v>0</v>
      </c>
      <c r="BW9" s="31">
        <v>0</v>
      </c>
      <c r="BX9" s="31">
        <v>0</v>
      </c>
      <c r="BY9" s="31">
        <v>0</v>
      </c>
      <c r="BZ9" s="31">
        <v>0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0</v>
      </c>
      <c r="CK9" s="31">
        <v>0</v>
      </c>
      <c r="CL9" s="31">
        <v>0</v>
      </c>
      <c r="CM9" s="31">
        <v>0</v>
      </c>
      <c r="CN9" s="31">
        <v>0</v>
      </c>
      <c r="CO9" s="31">
        <v>0</v>
      </c>
      <c r="CP9" s="31">
        <v>0</v>
      </c>
      <c r="CQ9" s="31">
        <v>0</v>
      </c>
      <c r="CR9" s="31">
        <v>0</v>
      </c>
      <c r="CS9" s="31">
        <v>0</v>
      </c>
      <c r="CT9" s="31">
        <v>0</v>
      </c>
      <c r="CU9" s="31">
        <v>0</v>
      </c>
      <c r="CV9" s="31">
        <v>0</v>
      </c>
      <c r="CW9" s="31">
        <v>0</v>
      </c>
      <c r="CX9" s="31">
        <v>0</v>
      </c>
      <c r="CY9" s="31">
        <v>0</v>
      </c>
      <c r="CZ9" s="31">
        <v>0</v>
      </c>
      <c r="DA9" s="31">
        <v>0</v>
      </c>
      <c r="DB9" s="31">
        <v>0</v>
      </c>
    </row>
    <row r="10" spans="1:106" x14ac:dyDescent="0.45">
      <c r="A10" s="24" t="s">
        <v>224</v>
      </c>
      <c r="B10" s="25" t="s">
        <v>18</v>
      </c>
      <c r="C10" s="30">
        <v>7874.9999999999991</v>
      </c>
      <c r="D10" s="30">
        <v>15750</v>
      </c>
      <c r="E10" s="30">
        <v>23625</v>
      </c>
      <c r="F10" s="30">
        <v>31500</v>
      </c>
      <c r="G10" s="30">
        <v>31500</v>
      </c>
      <c r="H10" s="30">
        <v>31500</v>
      </c>
      <c r="I10" s="30">
        <v>31500</v>
      </c>
      <c r="J10" s="30">
        <v>31500</v>
      </c>
      <c r="K10" s="30">
        <v>31500</v>
      </c>
      <c r="L10" s="30">
        <v>31500</v>
      </c>
      <c r="M10" s="30">
        <v>31500</v>
      </c>
      <c r="N10" s="30">
        <v>31500</v>
      </c>
      <c r="O10" s="30">
        <v>31500</v>
      </c>
      <c r="P10" s="30">
        <v>31500</v>
      </c>
      <c r="Q10" s="30">
        <v>31500</v>
      </c>
      <c r="R10" s="30">
        <v>31500</v>
      </c>
      <c r="S10" s="30">
        <v>31500</v>
      </c>
      <c r="T10" s="30">
        <v>31500</v>
      </c>
      <c r="U10" s="30">
        <v>31500</v>
      </c>
      <c r="V10" s="30">
        <v>31500</v>
      </c>
      <c r="W10" s="30">
        <v>31500</v>
      </c>
      <c r="X10" s="30">
        <v>31500</v>
      </c>
      <c r="Y10" s="30">
        <v>31500</v>
      </c>
      <c r="Z10" s="30">
        <v>31500</v>
      </c>
      <c r="AA10" s="30">
        <v>31500</v>
      </c>
      <c r="AB10" s="30">
        <v>31500</v>
      </c>
      <c r="AC10" s="30">
        <v>31500</v>
      </c>
      <c r="AD10" s="30">
        <v>31500</v>
      </c>
      <c r="AE10" s="30">
        <v>31500</v>
      </c>
      <c r="AF10" s="30">
        <v>31500</v>
      </c>
      <c r="AG10" s="30">
        <v>31500</v>
      </c>
      <c r="AH10" s="30">
        <v>31500</v>
      </c>
      <c r="AI10" s="30">
        <v>31500</v>
      </c>
      <c r="AJ10" s="30">
        <v>31500</v>
      </c>
      <c r="AK10" s="30">
        <v>31500</v>
      </c>
      <c r="AL10" s="30">
        <v>31500</v>
      </c>
      <c r="AM10" s="30">
        <v>31500</v>
      </c>
      <c r="AN10" s="30">
        <v>31500</v>
      </c>
      <c r="AO10" s="30">
        <v>31500</v>
      </c>
      <c r="AP10" s="30">
        <v>31500</v>
      </c>
      <c r="AQ10" s="30">
        <v>31500</v>
      </c>
      <c r="AR10" s="30">
        <v>31500</v>
      </c>
      <c r="AS10" s="30">
        <v>31500</v>
      </c>
      <c r="AT10" s="30">
        <v>31500</v>
      </c>
      <c r="AU10" s="30">
        <v>31500</v>
      </c>
      <c r="AV10" s="30">
        <v>31500</v>
      </c>
      <c r="AW10" s="30">
        <v>31500</v>
      </c>
      <c r="AX10" s="30">
        <v>31500</v>
      </c>
      <c r="AY10" s="30">
        <v>31500</v>
      </c>
      <c r="AZ10" s="30">
        <v>31500</v>
      </c>
      <c r="BA10" s="30">
        <v>31500</v>
      </c>
      <c r="BB10" s="30">
        <v>31500</v>
      </c>
      <c r="BC10" s="30">
        <v>31500</v>
      </c>
      <c r="BD10" s="30">
        <v>31500</v>
      </c>
      <c r="BE10" s="30">
        <v>31500</v>
      </c>
      <c r="BF10" s="30">
        <v>31500</v>
      </c>
      <c r="BG10" s="30">
        <v>31500</v>
      </c>
      <c r="BH10" s="30">
        <v>31500</v>
      </c>
      <c r="BI10" s="30">
        <v>31500</v>
      </c>
      <c r="BJ10" s="30">
        <v>31500</v>
      </c>
      <c r="BK10" s="30">
        <v>31500</v>
      </c>
      <c r="BL10" s="30">
        <v>31500</v>
      </c>
      <c r="BM10" s="30">
        <v>31500</v>
      </c>
      <c r="BN10" s="30">
        <v>31500</v>
      </c>
      <c r="BO10" s="30">
        <v>31500</v>
      </c>
      <c r="BP10" s="30">
        <v>31500</v>
      </c>
      <c r="BQ10" s="30">
        <v>31500</v>
      </c>
      <c r="BR10" s="30">
        <v>31500</v>
      </c>
      <c r="BS10" s="30">
        <v>31500</v>
      </c>
      <c r="BT10" s="30">
        <v>31500</v>
      </c>
      <c r="BU10" s="30">
        <v>31500</v>
      </c>
      <c r="BV10" s="30">
        <v>31500</v>
      </c>
      <c r="BW10" s="30">
        <v>31500</v>
      </c>
      <c r="BX10" s="30">
        <v>31500</v>
      </c>
      <c r="BY10" s="30">
        <v>31500</v>
      </c>
      <c r="BZ10" s="30">
        <v>31500</v>
      </c>
      <c r="CA10" s="30">
        <v>31500</v>
      </c>
      <c r="CB10" s="30">
        <v>31500</v>
      </c>
      <c r="CC10" s="30">
        <v>31500</v>
      </c>
      <c r="CD10" s="30">
        <v>31500</v>
      </c>
      <c r="CE10" s="30">
        <v>31500</v>
      </c>
      <c r="CF10" s="30">
        <v>31500</v>
      </c>
      <c r="CG10" s="30">
        <v>31500</v>
      </c>
      <c r="CH10" s="30">
        <v>31500</v>
      </c>
      <c r="CI10" s="30">
        <v>31500</v>
      </c>
      <c r="CJ10" s="30">
        <v>31500</v>
      </c>
      <c r="CK10" s="30">
        <v>31500</v>
      </c>
      <c r="CL10" s="30">
        <v>31500</v>
      </c>
      <c r="CM10" s="30">
        <v>31500</v>
      </c>
      <c r="CN10" s="30">
        <v>31500</v>
      </c>
      <c r="CO10" s="30">
        <v>31500</v>
      </c>
      <c r="CP10" s="30">
        <v>31500</v>
      </c>
      <c r="CQ10" s="30">
        <v>31500</v>
      </c>
      <c r="CR10" s="30">
        <v>31500</v>
      </c>
      <c r="CS10" s="30">
        <v>31500</v>
      </c>
      <c r="CT10" s="30">
        <v>31500</v>
      </c>
      <c r="CU10" s="30">
        <v>31500</v>
      </c>
      <c r="CV10" s="30">
        <v>31500</v>
      </c>
      <c r="CW10" s="30">
        <v>31500</v>
      </c>
      <c r="CX10" s="30">
        <v>31500</v>
      </c>
      <c r="CY10" s="30">
        <v>31500</v>
      </c>
      <c r="CZ10" s="30">
        <v>31500</v>
      </c>
      <c r="DA10" s="30">
        <v>31500</v>
      </c>
      <c r="DB10" s="30">
        <v>31500</v>
      </c>
    </row>
    <row r="12" spans="1:106" x14ac:dyDescent="0.45">
      <c r="A12" s="61" t="s">
        <v>225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</row>
    <row r="13" spans="1:106" x14ac:dyDescent="0.45">
      <c r="A13" s="24" t="s">
        <v>226</v>
      </c>
      <c r="B13" s="25" t="s">
        <v>18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31500</v>
      </c>
      <c r="I13" s="31">
        <v>31062.5</v>
      </c>
      <c r="J13" s="31">
        <v>30625</v>
      </c>
      <c r="K13" s="31">
        <v>30187.5</v>
      </c>
      <c r="L13" s="31">
        <v>29750</v>
      </c>
      <c r="M13" s="31">
        <v>29312.5</v>
      </c>
      <c r="N13" s="31">
        <v>28875</v>
      </c>
      <c r="O13" s="31">
        <v>28437.5</v>
      </c>
      <c r="P13" s="31">
        <v>28000</v>
      </c>
      <c r="Q13" s="31">
        <v>27562.5</v>
      </c>
      <c r="R13" s="31">
        <v>27125</v>
      </c>
      <c r="S13" s="31">
        <v>26687.5</v>
      </c>
      <c r="T13" s="31">
        <v>26250</v>
      </c>
      <c r="U13" s="31">
        <v>25812.5</v>
      </c>
      <c r="V13" s="31">
        <v>25375</v>
      </c>
      <c r="W13" s="31">
        <v>24937.5</v>
      </c>
      <c r="X13" s="31">
        <v>24500</v>
      </c>
      <c r="Y13" s="31">
        <v>24062.5</v>
      </c>
      <c r="Z13" s="31">
        <v>23625</v>
      </c>
      <c r="AA13" s="31">
        <v>23187.5</v>
      </c>
      <c r="AB13" s="31">
        <v>22750</v>
      </c>
      <c r="AC13" s="31">
        <v>22312.5</v>
      </c>
      <c r="AD13" s="31">
        <v>21875</v>
      </c>
      <c r="AE13" s="31">
        <v>21437.5</v>
      </c>
      <c r="AF13" s="31">
        <v>21000</v>
      </c>
      <c r="AG13" s="31">
        <v>20562.5</v>
      </c>
      <c r="AH13" s="31">
        <v>20125</v>
      </c>
      <c r="AI13" s="31">
        <v>19687.5</v>
      </c>
      <c r="AJ13" s="31">
        <v>19250</v>
      </c>
      <c r="AK13" s="31">
        <v>18812.5</v>
      </c>
      <c r="AL13" s="31">
        <v>18375</v>
      </c>
      <c r="AM13" s="31">
        <v>17937.5</v>
      </c>
      <c r="AN13" s="31">
        <v>17500</v>
      </c>
      <c r="AO13" s="31">
        <v>17062.5</v>
      </c>
      <c r="AP13" s="31">
        <v>16625</v>
      </c>
      <c r="AQ13" s="31">
        <v>16187.5</v>
      </c>
      <c r="AR13" s="31">
        <v>15750</v>
      </c>
      <c r="AS13" s="31">
        <v>15312.5</v>
      </c>
      <c r="AT13" s="31">
        <v>14875</v>
      </c>
      <c r="AU13" s="31">
        <v>14437.5</v>
      </c>
      <c r="AV13" s="31">
        <v>14000</v>
      </c>
      <c r="AW13" s="31">
        <v>13562.5</v>
      </c>
      <c r="AX13" s="31">
        <v>13125</v>
      </c>
      <c r="AY13" s="31">
        <v>12687.5</v>
      </c>
      <c r="AZ13" s="31">
        <v>12250</v>
      </c>
      <c r="BA13" s="31">
        <v>11812.5</v>
      </c>
      <c r="BB13" s="31">
        <v>11375</v>
      </c>
      <c r="BC13" s="31">
        <v>10937.5</v>
      </c>
      <c r="BD13" s="31">
        <v>10500</v>
      </c>
      <c r="BE13" s="31">
        <v>10062.5</v>
      </c>
      <c r="BF13" s="31">
        <v>9624.9999999999964</v>
      </c>
      <c r="BG13" s="31">
        <v>9187.4999999999964</v>
      </c>
      <c r="BH13" s="31">
        <v>8749.9999999999964</v>
      </c>
      <c r="BI13" s="31">
        <v>8312.4999999999964</v>
      </c>
      <c r="BJ13" s="31">
        <v>7874.9999999999964</v>
      </c>
      <c r="BK13" s="31">
        <v>7437.4999999999964</v>
      </c>
      <c r="BL13" s="31">
        <v>6999.9999999999964</v>
      </c>
      <c r="BM13" s="31">
        <v>6562.4999999999964</v>
      </c>
      <c r="BN13" s="31">
        <v>6124.9999999999964</v>
      </c>
      <c r="BO13" s="31">
        <v>5687.4999999999964</v>
      </c>
      <c r="BP13" s="31">
        <v>5249.9999999999964</v>
      </c>
      <c r="BQ13" s="31">
        <v>4812.4999999999964</v>
      </c>
      <c r="BR13" s="31">
        <v>4374.9999999999964</v>
      </c>
      <c r="BS13" s="31">
        <v>3937.4999999999959</v>
      </c>
      <c r="BT13" s="31">
        <v>3499.9999999999959</v>
      </c>
      <c r="BU13" s="31">
        <v>3062.4999999999959</v>
      </c>
      <c r="BV13" s="31">
        <v>2624.9999999999959</v>
      </c>
      <c r="BW13" s="31">
        <v>2187.4999999999959</v>
      </c>
      <c r="BX13" s="31">
        <v>1749.9999999999959</v>
      </c>
      <c r="BY13" s="31">
        <v>1312.4999999999959</v>
      </c>
      <c r="BZ13" s="31">
        <v>874.99999999999636</v>
      </c>
      <c r="CA13" s="31">
        <v>437.49999999999642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0</v>
      </c>
      <c r="CL13" s="31">
        <v>0</v>
      </c>
      <c r="CM13" s="31">
        <v>0</v>
      </c>
      <c r="CN13" s="31">
        <v>0</v>
      </c>
      <c r="CO13" s="31">
        <v>0</v>
      </c>
      <c r="CP13" s="31">
        <v>0</v>
      </c>
      <c r="CQ13" s="31">
        <v>0</v>
      </c>
      <c r="CR13" s="31">
        <v>0</v>
      </c>
      <c r="CS13" s="31">
        <v>0</v>
      </c>
      <c r="CT13" s="31">
        <v>0</v>
      </c>
      <c r="CU13" s="31">
        <v>0</v>
      </c>
      <c r="CV13" s="31">
        <v>0</v>
      </c>
      <c r="CW13" s="31">
        <v>0</v>
      </c>
      <c r="CX13" s="31">
        <v>0</v>
      </c>
      <c r="CY13" s="31">
        <v>0</v>
      </c>
      <c r="CZ13" s="31">
        <v>0</v>
      </c>
      <c r="DA13" s="31">
        <v>0</v>
      </c>
      <c r="DB13" s="31">
        <v>0</v>
      </c>
    </row>
    <row r="14" spans="1:106" x14ac:dyDescent="0.45">
      <c r="A14" s="24" t="s">
        <v>227</v>
      </c>
      <c r="B14" s="25" t="s">
        <v>18</v>
      </c>
      <c r="C14" s="30">
        <v>0</v>
      </c>
      <c r="D14" s="30">
        <v>0</v>
      </c>
      <c r="E14" s="30">
        <v>0</v>
      </c>
      <c r="F14" s="30">
        <v>0</v>
      </c>
      <c r="G14" s="30">
        <v>741.23625634479697</v>
      </c>
      <c r="H14" s="30">
        <v>730.94130834000816</v>
      </c>
      <c r="I14" s="30">
        <v>720.64636033521924</v>
      </c>
      <c r="J14" s="30">
        <v>710.35141233043043</v>
      </c>
      <c r="K14" s="30">
        <v>700.05646432564163</v>
      </c>
      <c r="L14" s="30">
        <v>689.76151632085271</v>
      </c>
      <c r="M14" s="30">
        <v>679.4665683160639</v>
      </c>
      <c r="N14" s="30">
        <v>669.17162031127509</v>
      </c>
      <c r="O14" s="30">
        <v>658.87667230648617</v>
      </c>
      <c r="P14" s="30">
        <v>648.58172430169736</v>
      </c>
      <c r="Q14" s="30">
        <v>638.28677629690844</v>
      </c>
      <c r="R14" s="30">
        <v>627.99182829211964</v>
      </c>
      <c r="S14" s="30">
        <v>617.69688028733083</v>
      </c>
      <c r="T14" s="30">
        <v>607.40193228254191</v>
      </c>
      <c r="U14" s="30">
        <v>597.1069842777531</v>
      </c>
      <c r="V14" s="30">
        <v>586.81203627296429</v>
      </c>
      <c r="W14" s="30">
        <v>576.51708826817537</v>
      </c>
      <c r="X14" s="30">
        <v>566.22214026338656</v>
      </c>
      <c r="Y14" s="30">
        <v>555.92719225859776</v>
      </c>
      <c r="Z14" s="30">
        <v>545.63224425380884</v>
      </c>
      <c r="AA14" s="30">
        <v>535.33729624902003</v>
      </c>
      <c r="AB14" s="30">
        <v>525.04234824423122</v>
      </c>
      <c r="AC14" s="30">
        <v>514.7474002394423</v>
      </c>
      <c r="AD14" s="30">
        <v>504.45245223465349</v>
      </c>
      <c r="AE14" s="30">
        <v>494.15750422986463</v>
      </c>
      <c r="AF14" s="30">
        <v>483.86255622507582</v>
      </c>
      <c r="AG14" s="30">
        <v>473.5676082202869</v>
      </c>
      <c r="AH14" s="30">
        <v>463.27266021549809</v>
      </c>
      <c r="AI14" s="30">
        <v>452.97771221070923</v>
      </c>
      <c r="AJ14" s="30">
        <v>442.68276420592042</v>
      </c>
      <c r="AK14" s="30">
        <v>432.38781620113161</v>
      </c>
      <c r="AL14" s="30">
        <v>422.09286819634269</v>
      </c>
      <c r="AM14" s="30">
        <v>411.79792019155383</v>
      </c>
      <c r="AN14" s="30">
        <v>401.50297218676502</v>
      </c>
      <c r="AO14" s="30">
        <v>391.20802418197621</v>
      </c>
      <c r="AP14" s="30">
        <v>380.91307617718729</v>
      </c>
      <c r="AQ14" s="30">
        <v>370.61812817239837</v>
      </c>
      <c r="AR14" s="30">
        <v>360.32318016760962</v>
      </c>
      <c r="AS14" s="30">
        <v>350.02823216282081</v>
      </c>
      <c r="AT14" s="30">
        <v>339.73328415803189</v>
      </c>
      <c r="AU14" s="30">
        <v>329.43833615324297</v>
      </c>
      <c r="AV14" s="30">
        <v>319.14338814845422</v>
      </c>
      <c r="AW14" s="30">
        <v>308.84844014366541</v>
      </c>
      <c r="AX14" s="30">
        <v>298.55349213887649</v>
      </c>
      <c r="AY14" s="30">
        <v>288.25854413408769</v>
      </c>
      <c r="AZ14" s="30">
        <v>277.96359612929882</v>
      </c>
      <c r="BA14" s="30">
        <v>267.66864812451001</v>
      </c>
      <c r="BB14" s="30">
        <v>257.37370011972109</v>
      </c>
      <c r="BC14" s="30">
        <v>247.07875211493231</v>
      </c>
      <c r="BD14" s="30">
        <v>236.78380411014339</v>
      </c>
      <c r="BE14" s="30">
        <v>226.48885610535461</v>
      </c>
      <c r="BF14" s="30">
        <v>216.19390810056569</v>
      </c>
      <c r="BG14" s="30">
        <v>205.89896009577691</v>
      </c>
      <c r="BH14" s="30">
        <v>195.60401209098799</v>
      </c>
      <c r="BI14" s="30">
        <v>185.30906408619919</v>
      </c>
      <c r="BJ14" s="30">
        <v>175.01411608141029</v>
      </c>
      <c r="BK14" s="30">
        <v>164.71916807662149</v>
      </c>
      <c r="BL14" s="30">
        <v>154.42422007183259</v>
      </c>
      <c r="BM14" s="30">
        <v>144.12927206704379</v>
      </c>
      <c r="BN14" s="30">
        <v>133.83432406225501</v>
      </c>
      <c r="BO14" s="30">
        <v>123.5393760574661</v>
      </c>
      <c r="BP14" s="30">
        <v>113.24442805267731</v>
      </c>
      <c r="BQ14" s="30">
        <v>102.9494800478884</v>
      </c>
      <c r="BR14" s="30">
        <v>92.65453204309955</v>
      </c>
      <c r="BS14" s="30">
        <v>82.3595840383107</v>
      </c>
      <c r="BT14" s="30">
        <v>72.06463603352185</v>
      </c>
      <c r="BU14" s="30">
        <v>61.769688028733</v>
      </c>
      <c r="BV14" s="30">
        <v>51.474740023944157</v>
      </c>
      <c r="BW14" s="30">
        <v>41.179792019155308</v>
      </c>
      <c r="BX14" s="30">
        <v>30.884844014366461</v>
      </c>
      <c r="BY14" s="30">
        <v>20.589896009577611</v>
      </c>
      <c r="BZ14" s="30">
        <v>10.294948004788759</v>
      </c>
      <c r="CA14" s="30">
        <v>0</v>
      </c>
      <c r="CB14" s="30">
        <v>0</v>
      </c>
      <c r="CC14" s="30">
        <v>0</v>
      </c>
      <c r="CD14" s="30">
        <v>0</v>
      </c>
      <c r="CE14" s="30">
        <v>0</v>
      </c>
      <c r="CF14" s="30">
        <v>0</v>
      </c>
      <c r="CG14" s="30">
        <v>0</v>
      </c>
      <c r="CH14" s="30">
        <v>0</v>
      </c>
      <c r="CI14" s="30">
        <v>0</v>
      </c>
      <c r="CJ14" s="30">
        <v>0</v>
      </c>
      <c r="CK14" s="30">
        <v>0</v>
      </c>
      <c r="CL14" s="30">
        <v>0</v>
      </c>
      <c r="CM14" s="30">
        <v>0</v>
      </c>
      <c r="CN14" s="30">
        <v>0</v>
      </c>
      <c r="CO14" s="30">
        <v>0</v>
      </c>
      <c r="CP14" s="30">
        <v>0</v>
      </c>
      <c r="CQ14" s="30">
        <v>0</v>
      </c>
      <c r="CR14" s="30">
        <v>0</v>
      </c>
      <c r="CS14" s="30">
        <v>0</v>
      </c>
      <c r="CT14" s="30">
        <v>0</v>
      </c>
      <c r="CU14" s="30">
        <v>0</v>
      </c>
      <c r="CV14" s="30">
        <v>0</v>
      </c>
      <c r="CW14" s="30">
        <v>0</v>
      </c>
      <c r="CX14" s="30">
        <v>0</v>
      </c>
      <c r="CY14" s="30">
        <v>0</v>
      </c>
      <c r="CZ14" s="30">
        <v>0</v>
      </c>
      <c r="DA14" s="30">
        <v>0</v>
      </c>
      <c r="DB14" s="30">
        <v>0</v>
      </c>
    </row>
    <row r="15" spans="1:106" x14ac:dyDescent="0.45">
      <c r="A15" s="24" t="s">
        <v>201</v>
      </c>
      <c r="B15" s="25" t="s">
        <v>18</v>
      </c>
      <c r="C15" s="31">
        <v>0</v>
      </c>
      <c r="D15" s="31">
        <v>0</v>
      </c>
      <c r="E15" s="31">
        <v>0</v>
      </c>
      <c r="F15" s="31">
        <v>0</v>
      </c>
      <c r="G15" s="31">
        <v>437.49999999999989</v>
      </c>
      <c r="H15" s="31">
        <v>437.49999999999989</v>
      </c>
      <c r="I15" s="31">
        <v>437.49999999999989</v>
      </c>
      <c r="J15" s="31">
        <v>437.49999999999989</v>
      </c>
      <c r="K15" s="31">
        <v>437.49999999999989</v>
      </c>
      <c r="L15" s="31">
        <v>437.49999999999989</v>
      </c>
      <c r="M15" s="31">
        <v>437.49999999999989</v>
      </c>
      <c r="N15" s="31">
        <v>437.49999999999989</v>
      </c>
      <c r="O15" s="31">
        <v>437.49999999999989</v>
      </c>
      <c r="P15" s="31">
        <v>437.49999999999989</v>
      </c>
      <c r="Q15" s="31">
        <v>437.49999999999989</v>
      </c>
      <c r="R15" s="31">
        <v>437.49999999999989</v>
      </c>
      <c r="S15" s="31">
        <v>437.49999999999989</v>
      </c>
      <c r="T15" s="31">
        <v>437.49999999999989</v>
      </c>
      <c r="U15" s="31">
        <v>437.49999999999989</v>
      </c>
      <c r="V15" s="31">
        <v>437.49999999999989</v>
      </c>
      <c r="W15" s="31">
        <v>437.49999999999989</v>
      </c>
      <c r="X15" s="31">
        <v>437.49999999999989</v>
      </c>
      <c r="Y15" s="31">
        <v>437.49999999999989</v>
      </c>
      <c r="Z15" s="31">
        <v>437.49999999999989</v>
      </c>
      <c r="AA15" s="31">
        <v>437.49999999999989</v>
      </c>
      <c r="AB15" s="31">
        <v>437.49999999999989</v>
      </c>
      <c r="AC15" s="31">
        <v>437.49999999999989</v>
      </c>
      <c r="AD15" s="31">
        <v>437.49999999999989</v>
      </c>
      <c r="AE15" s="31">
        <v>437.49999999999989</v>
      </c>
      <c r="AF15" s="31">
        <v>437.49999999999989</v>
      </c>
      <c r="AG15" s="31">
        <v>437.49999999999989</v>
      </c>
      <c r="AH15" s="31">
        <v>437.49999999999989</v>
      </c>
      <c r="AI15" s="31">
        <v>437.49999999999989</v>
      </c>
      <c r="AJ15" s="31">
        <v>437.49999999999989</v>
      </c>
      <c r="AK15" s="31">
        <v>437.49999999999989</v>
      </c>
      <c r="AL15" s="31">
        <v>437.49999999999989</v>
      </c>
      <c r="AM15" s="31">
        <v>437.49999999999989</v>
      </c>
      <c r="AN15" s="31">
        <v>437.49999999999989</v>
      </c>
      <c r="AO15" s="31">
        <v>437.49999999999989</v>
      </c>
      <c r="AP15" s="31">
        <v>437.49999999999989</v>
      </c>
      <c r="AQ15" s="31">
        <v>437.49999999999989</v>
      </c>
      <c r="AR15" s="31">
        <v>437.49999999999989</v>
      </c>
      <c r="AS15" s="31">
        <v>437.49999999999989</v>
      </c>
      <c r="AT15" s="31">
        <v>437.49999999999989</v>
      </c>
      <c r="AU15" s="31">
        <v>437.49999999999989</v>
      </c>
      <c r="AV15" s="31">
        <v>437.49999999999989</v>
      </c>
      <c r="AW15" s="31">
        <v>437.49999999999989</v>
      </c>
      <c r="AX15" s="31">
        <v>437.49999999999989</v>
      </c>
      <c r="AY15" s="31">
        <v>437.49999999999989</v>
      </c>
      <c r="AZ15" s="31">
        <v>437.49999999999989</v>
      </c>
      <c r="BA15" s="31">
        <v>437.49999999999989</v>
      </c>
      <c r="BB15" s="31">
        <v>437.49999999999989</v>
      </c>
      <c r="BC15" s="31">
        <v>437.49999999999989</v>
      </c>
      <c r="BD15" s="31">
        <v>437.49999999999989</v>
      </c>
      <c r="BE15" s="31">
        <v>437.49999999999989</v>
      </c>
      <c r="BF15" s="31">
        <v>437.49999999999989</v>
      </c>
      <c r="BG15" s="31">
        <v>437.49999999999989</v>
      </c>
      <c r="BH15" s="31">
        <v>437.49999999999989</v>
      </c>
      <c r="BI15" s="31">
        <v>437.49999999999989</v>
      </c>
      <c r="BJ15" s="31">
        <v>437.49999999999989</v>
      </c>
      <c r="BK15" s="31">
        <v>437.49999999999989</v>
      </c>
      <c r="BL15" s="31">
        <v>437.49999999999989</v>
      </c>
      <c r="BM15" s="31">
        <v>437.49999999999989</v>
      </c>
      <c r="BN15" s="31">
        <v>437.49999999999989</v>
      </c>
      <c r="BO15" s="31">
        <v>437.49999999999989</v>
      </c>
      <c r="BP15" s="31">
        <v>437.49999999999989</v>
      </c>
      <c r="BQ15" s="31">
        <v>437.49999999999989</v>
      </c>
      <c r="BR15" s="31">
        <v>437.49999999999989</v>
      </c>
      <c r="BS15" s="31">
        <v>437.49999999999989</v>
      </c>
      <c r="BT15" s="31">
        <v>437.49999999999989</v>
      </c>
      <c r="BU15" s="31">
        <v>437.49999999999989</v>
      </c>
      <c r="BV15" s="31">
        <v>437.49999999999989</v>
      </c>
      <c r="BW15" s="31">
        <v>437.49999999999989</v>
      </c>
      <c r="BX15" s="31">
        <v>437.49999999999989</v>
      </c>
      <c r="BY15" s="31">
        <v>437.49999999999989</v>
      </c>
      <c r="BZ15" s="31">
        <v>437.49999999999989</v>
      </c>
      <c r="CA15" s="31">
        <v>0</v>
      </c>
      <c r="CB15" s="31">
        <v>0</v>
      </c>
      <c r="CC15" s="31">
        <v>0</v>
      </c>
      <c r="CD15" s="31">
        <v>0</v>
      </c>
      <c r="CE15" s="31">
        <v>0</v>
      </c>
      <c r="CF15" s="31">
        <v>0</v>
      </c>
      <c r="CG15" s="31">
        <v>0</v>
      </c>
      <c r="CH15" s="31">
        <v>0</v>
      </c>
      <c r="CI15" s="31">
        <v>0</v>
      </c>
      <c r="CJ15" s="31">
        <v>0</v>
      </c>
      <c r="CK15" s="31">
        <v>0</v>
      </c>
      <c r="CL15" s="31">
        <v>0</v>
      </c>
      <c r="CM15" s="31">
        <v>0</v>
      </c>
      <c r="CN15" s="31">
        <v>0</v>
      </c>
      <c r="CO15" s="31">
        <v>0</v>
      </c>
      <c r="CP15" s="31">
        <v>0</v>
      </c>
      <c r="CQ15" s="31">
        <v>0</v>
      </c>
      <c r="CR15" s="31">
        <v>0</v>
      </c>
      <c r="CS15" s="31">
        <v>0</v>
      </c>
      <c r="CT15" s="31">
        <v>0</v>
      </c>
      <c r="CU15" s="31">
        <v>0</v>
      </c>
      <c r="CV15" s="31">
        <v>0</v>
      </c>
      <c r="CW15" s="31">
        <v>0</v>
      </c>
      <c r="CX15" s="31">
        <v>0</v>
      </c>
      <c r="CY15" s="31">
        <v>0</v>
      </c>
      <c r="CZ15" s="31">
        <v>0</v>
      </c>
      <c r="DA15" s="31">
        <v>0</v>
      </c>
      <c r="DB15" s="31">
        <v>0</v>
      </c>
    </row>
    <row r="16" spans="1:106" x14ac:dyDescent="0.45">
      <c r="A16" s="27" t="s">
        <v>202</v>
      </c>
      <c r="B16" s="28" t="s">
        <v>18</v>
      </c>
      <c r="C16" s="33">
        <v>0</v>
      </c>
      <c r="D16" s="33">
        <v>0</v>
      </c>
      <c r="E16" s="33">
        <v>0</v>
      </c>
      <c r="F16" s="33">
        <v>0</v>
      </c>
      <c r="G16" s="33">
        <v>1178.7362563447971</v>
      </c>
      <c r="H16" s="33">
        <v>1168.4413083400079</v>
      </c>
      <c r="I16" s="33">
        <v>1158.146360335219</v>
      </c>
      <c r="J16" s="33">
        <v>1147.8514123304301</v>
      </c>
      <c r="K16" s="33">
        <v>1137.5564643256421</v>
      </c>
      <c r="L16" s="33">
        <v>1127.2615163208529</v>
      </c>
      <c r="M16" s="33">
        <v>1116.966568316064</v>
      </c>
      <c r="N16" s="33">
        <v>1106.6716203112751</v>
      </c>
      <c r="O16" s="33">
        <v>1096.3766723064859</v>
      </c>
      <c r="P16" s="33">
        <v>1086.081724301697</v>
      </c>
      <c r="Q16" s="33">
        <v>1075.7867762969081</v>
      </c>
      <c r="R16" s="33">
        <v>1065.4918282921201</v>
      </c>
      <c r="S16" s="33">
        <v>1055.1968802873309</v>
      </c>
      <c r="T16" s="33">
        <v>1044.901932282542</v>
      </c>
      <c r="U16" s="33">
        <v>1034.6069842777531</v>
      </c>
      <c r="V16" s="33">
        <v>1024.312036272964</v>
      </c>
      <c r="W16" s="33">
        <v>1014.017088268175</v>
      </c>
      <c r="X16" s="33">
        <v>1003.722140263387</v>
      </c>
      <c r="Y16" s="33">
        <v>993.42719225859764</v>
      </c>
      <c r="Z16" s="33">
        <v>983.13224425380872</v>
      </c>
      <c r="AA16" s="33">
        <v>972.83729624902003</v>
      </c>
      <c r="AB16" s="33">
        <v>962.54234824423111</v>
      </c>
      <c r="AC16" s="33">
        <v>952.24740023944219</v>
      </c>
      <c r="AD16" s="33">
        <v>941.95245223465349</v>
      </c>
      <c r="AE16" s="33">
        <v>931.65750422986457</v>
      </c>
      <c r="AF16" s="33">
        <v>921.36255622507565</v>
      </c>
      <c r="AG16" s="33">
        <v>911.06760822028684</v>
      </c>
      <c r="AH16" s="33">
        <v>900.77266021549804</v>
      </c>
      <c r="AI16" s="33">
        <v>890.47771221070911</v>
      </c>
      <c r="AJ16" s="33">
        <v>880.18276420592031</v>
      </c>
      <c r="AK16" s="33">
        <v>869.8878162011315</v>
      </c>
      <c r="AL16" s="33">
        <v>859.59286819634258</v>
      </c>
      <c r="AM16" s="33">
        <v>849.29792019155377</v>
      </c>
      <c r="AN16" s="33">
        <v>839.00297218676496</v>
      </c>
      <c r="AO16" s="33">
        <v>828.70802418197604</v>
      </c>
      <c r="AP16" s="33">
        <v>818.41307617718724</v>
      </c>
      <c r="AQ16" s="33">
        <v>808.11812817239843</v>
      </c>
      <c r="AR16" s="33">
        <v>797.82318016760951</v>
      </c>
      <c r="AS16" s="33">
        <v>787.5282321628207</v>
      </c>
      <c r="AT16" s="33">
        <v>777.23328415803189</v>
      </c>
      <c r="AU16" s="33">
        <v>766.93833615324297</v>
      </c>
      <c r="AV16" s="33">
        <v>756.64338814845416</v>
      </c>
      <c r="AW16" s="33">
        <v>746.34844014366536</v>
      </c>
      <c r="AX16" s="33">
        <v>736.05349213887644</v>
      </c>
      <c r="AY16" s="33">
        <v>725.75854413408763</v>
      </c>
      <c r="AZ16" s="33">
        <v>715.46359612929882</v>
      </c>
      <c r="BA16" s="33">
        <v>705.1686481245099</v>
      </c>
      <c r="BB16" s="33">
        <v>694.87370011972098</v>
      </c>
      <c r="BC16" s="33">
        <v>684.57875211493217</v>
      </c>
      <c r="BD16" s="33">
        <v>674.28380411014336</v>
      </c>
      <c r="BE16" s="33">
        <v>663.98885610535456</v>
      </c>
      <c r="BF16" s="33">
        <v>653.69390810056564</v>
      </c>
      <c r="BG16" s="33">
        <v>643.39896009577683</v>
      </c>
      <c r="BH16" s="33">
        <v>633.10401209098791</v>
      </c>
      <c r="BI16" s="33">
        <v>622.8090640861991</v>
      </c>
      <c r="BJ16" s="33">
        <v>612.51411608141029</v>
      </c>
      <c r="BK16" s="33">
        <v>602.21916807662137</v>
      </c>
      <c r="BL16" s="33">
        <v>591.92422007183256</v>
      </c>
      <c r="BM16" s="33">
        <v>581.62927206704376</v>
      </c>
      <c r="BN16" s="33">
        <v>571.33432406225484</v>
      </c>
      <c r="BO16" s="33">
        <v>561.03937605746603</v>
      </c>
      <c r="BP16" s="33">
        <v>550.74442805267722</v>
      </c>
      <c r="BQ16" s="33">
        <v>540.4494800478883</v>
      </c>
      <c r="BR16" s="33">
        <v>530.15453204309949</v>
      </c>
      <c r="BS16" s="33">
        <v>519.85958403831069</v>
      </c>
      <c r="BT16" s="33">
        <v>509.56463603352182</v>
      </c>
      <c r="BU16" s="33">
        <v>499.26968802873301</v>
      </c>
      <c r="BV16" s="33">
        <v>488.97474002394409</v>
      </c>
      <c r="BW16" s="33">
        <v>478.67979201915517</v>
      </c>
      <c r="BX16" s="33">
        <v>468.38484401436642</v>
      </c>
      <c r="BY16" s="33">
        <v>458.08989600957761</v>
      </c>
      <c r="BZ16" s="33">
        <v>447.79494800478869</v>
      </c>
      <c r="CA16" s="33">
        <v>0</v>
      </c>
      <c r="CB16" s="33">
        <v>0</v>
      </c>
      <c r="CC16" s="33">
        <v>0</v>
      </c>
      <c r="CD16" s="33">
        <v>0</v>
      </c>
      <c r="CE16" s="33">
        <v>0</v>
      </c>
      <c r="CF16" s="33">
        <v>0</v>
      </c>
      <c r="CG16" s="33">
        <v>0</v>
      </c>
      <c r="CH16" s="33">
        <v>0</v>
      </c>
      <c r="CI16" s="33">
        <v>0</v>
      </c>
      <c r="CJ16" s="33">
        <v>0</v>
      </c>
      <c r="CK16" s="33">
        <v>0</v>
      </c>
      <c r="CL16" s="33">
        <v>0</v>
      </c>
      <c r="CM16" s="33">
        <v>0</v>
      </c>
      <c r="CN16" s="33">
        <v>0</v>
      </c>
      <c r="CO16" s="33">
        <v>0</v>
      </c>
      <c r="CP16" s="33">
        <v>0</v>
      </c>
      <c r="CQ16" s="33">
        <v>0</v>
      </c>
      <c r="CR16" s="33">
        <v>0</v>
      </c>
      <c r="CS16" s="33">
        <v>0</v>
      </c>
      <c r="CT16" s="33">
        <v>0</v>
      </c>
      <c r="CU16" s="33">
        <v>0</v>
      </c>
      <c r="CV16" s="33">
        <v>0</v>
      </c>
      <c r="CW16" s="33">
        <v>0</v>
      </c>
      <c r="CX16" s="33">
        <v>0</v>
      </c>
      <c r="CY16" s="33">
        <v>0</v>
      </c>
      <c r="CZ16" s="33">
        <v>0</v>
      </c>
      <c r="DA16" s="33">
        <v>0</v>
      </c>
      <c r="DB16" s="33">
        <v>0</v>
      </c>
    </row>
    <row r="17" spans="1:106" x14ac:dyDescent="0.45">
      <c r="A17" s="27" t="s">
        <v>228</v>
      </c>
      <c r="B17" s="28" t="s">
        <v>18</v>
      </c>
      <c r="C17" s="29">
        <v>0</v>
      </c>
      <c r="D17" s="29">
        <v>0</v>
      </c>
      <c r="E17" s="29">
        <v>0</v>
      </c>
      <c r="F17" s="29">
        <v>0</v>
      </c>
      <c r="G17" s="29">
        <v>31500</v>
      </c>
      <c r="H17" s="29">
        <v>31062.5</v>
      </c>
      <c r="I17" s="29">
        <v>30625</v>
      </c>
      <c r="J17" s="29">
        <v>30187.5</v>
      </c>
      <c r="K17" s="29">
        <v>29750</v>
      </c>
      <c r="L17" s="29">
        <v>29312.5</v>
      </c>
      <c r="M17" s="29">
        <v>28875</v>
      </c>
      <c r="N17" s="29">
        <v>28437.5</v>
      </c>
      <c r="O17" s="29">
        <v>28000</v>
      </c>
      <c r="P17" s="29">
        <v>27562.5</v>
      </c>
      <c r="Q17" s="29">
        <v>27125</v>
      </c>
      <c r="R17" s="29">
        <v>26687.5</v>
      </c>
      <c r="S17" s="29">
        <v>26250</v>
      </c>
      <c r="T17" s="29">
        <v>25812.5</v>
      </c>
      <c r="U17" s="29">
        <v>25375</v>
      </c>
      <c r="V17" s="29">
        <v>24937.5</v>
      </c>
      <c r="W17" s="29">
        <v>24500</v>
      </c>
      <c r="X17" s="29">
        <v>24062.5</v>
      </c>
      <c r="Y17" s="29">
        <v>23625</v>
      </c>
      <c r="Z17" s="29">
        <v>23187.5</v>
      </c>
      <c r="AA17" s="29">
        <v>22750</v>
      </c>
      <c r="AB17" s="29">
        <v>22312.5</v>
      </c>
      <c r="AC17" s="29">
        <v>21875</v>
      </c>
      <c r="AD17" s="29">
        <v>21437.5</v>
      </c>
      <c r="AE17" s="29">
        <v>21000</v>
      </c>
      <c r="AF17" s="29">
        <v>20562.5</v>
      </c>
      <c r="AG17" s="29">
        <v>20125</v>
      </c>
      <c r="AH17" s="29">
        <v>19687.5</v>
      </c>
      <c r="AI17" s="29">
        <v>19250</v>
      </c>
      <c r="AJ17" s="29">
        <v>18812.5</v>
      </c>
      <c r="AK17" s="29">
        <v>18375</v>
      </c>
      <c r="AL17" s="29">
        <v>17937.5</v>
      </c>
      <c r="AM17" s="29">
        <v>17500</v>
      </c>
      <c r="AN17" s="29">
        <v>17062.5</v>
      </c>
      <c r="AO17" s="29">
        <v>16625</v>
      </c>
      <c r="AP17" s="29">
        <v>16187.5</v>
      </c>
      <c r="AQ17" s="29">
        <v>15750</v>
      </c>
      <c r="AR17" s="29">
        <v>15312.5</v>
      </c>
      <c r="AS17" s="29">
        <v>14875</v>
      </c>
      <c r="AT17" s="29">
        <v>14437.5</v>
      </c>
      <c r="AU17" s="29">
        <v>14000</v>
      </c>
      <c r="AV17" s="29">
        <v>13562.5</v>
      </c>
      <c r="AW17" s="29">
        <v>13125</v>
      </c>
      <c r="AX17" s="29">
        <v>12687.5</v>
      </c>
      <c r="AY17" s="29">
        <v>12250</v>
      </c>
      <c r="AZ17" s="29">
        <v>11812.5</v>
      </c>
      <c r="BA17" s="29">
        <v>11375</v>
      </c>
      <c r="BB17" s="29">
        <v>10937.5</v>
      </c>
      <c r="BC17" s="29">
        <v>10500</v>
      </c>
      <c r="BD17" s="29">
        <v>10062.5</v>
      </c>
      <c r="BE17" s="29">
        <v>9624.9999999999964</v>
      </c>
      <c r="BF17" s="29">
        <v>9187.4999999999964</v>
      </c>
      <c r="BG17" s="29">
        <v>8749.9999999999964</v>
      </c>
      <c r="BH17" s="29">
        <v>8312.4999999999964</v>
      </c>
      <c r="BI17" s="29">
        <v>7874.9999999999964</v>
      </c>
      <c r="BJ17" s="29">
        <v>7437.4999999999964</v>
      </c>
      <c r="BK17" s="29">
        <v>6999.9999999999964</v>
      </c>
      <c r="BL17" s="29">
        <v>6562.4999999999964</v>
      </c>
      <c r="BM17" s="29">
        <v>6124.9999999999964</v>
      </c>
      <c r="BN17" s="29">
        <v>5687.4999999999964</v>
      </c>
      <c r="BO17" s="29">
        <v>5249.9999999999964</v>
      </c>
      <c r="BP17" s="29">
        <v>4812.4999999999964</v>
      </c>
      <c r="BQ17" s="29">
        <v>4374.9999999999964</v>
      </c>
      <c r="BR17" s="29">
        <v>3937.4999999999959</v>
      </c>
      <c r="BS17" s="29">
        <v>3499.9999999999959</v>
      </c>
      <c r="BT17" s="29">
        <v>3062.4999999999959</v>
      </c>
      <c r="BU17" s="29">
        <v>2624.9999999999959</v>
      </c>
      <c r="BV17" s="29">
        <v>2187.4999999999959</v>
      </c>
      <c r="BW17" s="29">
        <v>1749.9999999999959</v>
      </c>
      <c r="BX17" s="29">
        <v>1312.4999999999959</v>
      </c>
      <c r="BY17" s="29">
        <v>874.99999999999636</v>
      </c>
      <c r="BZ17" s="29">
        <v>437.49999999999642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</row>
    <row r="19" spans="1:106" x14ac:dyDescent="0.45">
      <c r="A19" s="34" t="s">
        <v>203</v>
      </c>
      <c r="B19" s="35" t="s">
        <v>48</v>
      </c>
      <c r="C19" s="36"/>
      <c r="D19" s="36"/>
      <c r="E19" s="36"/>
      <c r="F19" s="36"/>
      <c r="G19" s="37">
        <v>0.84987987249707886</v>
      </c>
      <c r="H19" s="37">
        <v>0.85470556485002525</v>
      </c>
      <c r="I19" s="37">
        <v>0.85960897650245738</v>
      </c>
      <c r="J19" s="37">
        <v>0.86459212322961365</v>
      </c>
      <c r="K19" s="37">
        <v>0.86965709323291529</v>
      </c>
      <c r="L19" s="37">
        <v>0.87480605044309323</v>
      </c>
      <c r="M19" s="37">
        <v>0.88004123800595646</v>
      </c>
      <c r="N19" s="37">
        <v>0.88536498196268609</v>
      </c>
      <c r="O19" s="37">
        <v>0.89077969513744781</v>
      </c>
      <c r="P19" s="37">
        <v>0.89628788124607206</v>
      </c>
      <c r="Q19" s="37">
        <v>0.90189213924061928</v>
      </c>
      <c r="R19" s="37">
        <v>0.90759516790577388</v>
      </c>
      <c r="S19" s="37">
        <v>0.91339977072427314</v>
      </c>
      <c r="T19" s="37">
        <v>0.91930886102992349</v>
      </c>
      <c r="U19" s="37">
        <v>0.92532546746823108</v>
      </c>
      <c r="V19" s="37">
        <v>0.9314527397862985</v>
      </c>
      <c r="W19" s="37">
        <v>0.93769395497537511</v>
      </c>
      <c r="X19" s="37">
        <v>0.94405252379138915</v>
      </c>
      <c r="Y19" s="37">
        <v>0.95053199768088015</v>
      </c>
      <c r="Z19" s="37">
        <v>0.95713607614204355</v>
      </c>
      <c r="AA19" s="37">
        <v>0.96386861455311901</v>
      </c>
      <c r="AB19" s="37">
        <v>0.97073363250312028</v>
      </c>
      <c r="AC19" s="37">
        <v>0.97773532266290897</v>
      </c>
      <c r="AD19" s="37">
        <v>0.98487806023796243</v>
      </c>
      <c r="AE19" s="37">
        <v>0.99216641304782816</v>
      </c>
      <c r="AF19" s="37">
        <v>0.999605152281272</v>
      </c>
      <c r="AG19" s="38">
        <v>1.0071992639805809</v>
      </c>
      <c r="AH19" s="38">
        <v>1.014953961313344</v>
      </c>
      <c r="AI19" s="38">
        <v>1.0228746976954419</v>
      </c>
      <c r="AJ19" s="38">
        <v>1.030967180834943</v>
      </c>
      <c r="AK19" s="38">
        <v>1.0392373877731851</v>
      </c>
      <c r="AL19" s="38">
        <v>1.047691581006664</v>
      </c>
      <c r="AM19" s="38">
        <v>1.056336325781404</v>
      </c>
      <c r="AN19" s="38">
        <v>1.065178508660553</v>
      </c>
      <c r="AO19" s="38">
        <v>1.0742253574758971</v>
      </c>
      <c r="AP19" s="38">
        <v>1.0834844627851661</v>
      </c>
      <c r="AQ19" s="38">
        <v>1.0929638009694049</v>
      </c>
      <c r="AR19" s="38">
        <v>1.102671759118558</v>
      </c>
      <c r="AS19" s="38">
        <v>1.1126171618688889</v>
      </c>
      <c r="AT19" s="38">
        <v>1.122809300373224</v>
      </c>
      <c r="AU19" s="38">
        <v>1.131521956733033</v>
      </c>
      <c r="AV19" s="38">
        <v>1.139988247467473</v>
      </c>
      <c r="AW19" s="38">
        <v>1.1486746922098949</v>
      </c>
      <c r="AX19" s="38">
        <v>1.1575904111245821</v>
      </c>
      <c r="AY19" s="38">
        <v>1.1667450409943221</v>
      </c>
      <c r="AZ19" s="38">
        <v>1.176148772382521</v>
      </c>
      <c r="BA19" s="38">
        <v>1.185812390050508</v>
      </c>
      <c r="BB19" s="38">
        <v>1.19574731696762</v>
      </c>
      <c r="BC19" s="38">
        <v>1.205965662292275</v>
      </c>
      <c r="BD19" s="38">
        <v>1.2164802737484339</v>
      </c>
      <c r="BE19" s="38">
        <v>1.2273047948745011</v>
      </c>
      <c r="BF19" s="38">
        <v>1.2384537276818051</v>
      </c>
      <c r="BG19" s="38">
        <v>1.2499425013285601</v>
      </c>
      <c r="BH19" s="39">
        <v>1.261787547494059</v>
      </c>
      <c r="BI19" s="39">
        <v>1.274006383228337</v>
      </c>
      <c r="BJ19" s="39">
        <v>1.286617702156863</v>
      </c>
      <c r="BK19" s="39">
        <v>1.29964147504003</v>
      </c>
      <c r="BL19" s="39">
        <v>1.3130990608263791</v>
      </c>
      <c r="BM19" s="39">
        <v>1.3270133294997399</v>
      </c>
      <c r="BN19" s="39">
        <v>1.3414087982078879</v>
      </c>
      <c r="BO19" s="39">
        <v>1.3563117823787261</v>
      </c>
      <c r="BP19" s="39">
        <v>1.3717505637850831</v>
      </c>
      <c r="BQ19" s="39">
        <v>1.3877555778181061</v>
      </c>
      <c r="BR19" s="39">
        <v>1.404359622580287</v>
      </c>
      <c r="BS19" s="39">
        <v>1.4215980928228431</v>
      </c>
      <c r="BT19" s="39">
        <v>1.439509242241013</v>
      </c>
      <c r="BU19" s="39">
        <v>1.458134478220485</v>
      </c>
      <c r="BV19" s="39">
        <v>1.4775186938175551</v>
      </c>
      <c r="BW19" s="39">
        <v>1.497710642578493</v>
      </c>
      <c r="BX19" s="39">
        <v>1.518763362789296</v>
      </c>
      <c r="BY19" s="39">
        <v>1.5407346589319559</v>
      </c>
      <c r="BZ19" s="39">
        <v>1.563687649553638</v>
      </c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</row>
    <row r="21" spans="1:106" x14ac:dyDescent="0.45">
      <c r="A21" s="61" t="s">
        <v>229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</row>
    <row r="22" spans="1:106" x14ac:dyDescent="0.45">
      <c r="A22" s="24" t="s">
        <v>230</v>
      </c>
      <c r="B22" s="25" t="s">
        <v>18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2357.4725126895942</v>
      </c>
      <c r="I22" s="30">
        <v>2336.8826166800159</v>
      </c>
      <c r="J22" s="30">
        <v>2316.292720670438</v>
      </c>
      <c r="K22" s="30">
        <v>2295.7028246608611</v>
      </c>
      <c r="L22" s="30">
        <v>2275.1129286512828</v>
      </c>
      <c r="M22" s="30">
        <v>2254.523032641705</v>
      </c>
      <c r="N22" s="30">
        <v>2233.933136632128</v>
      </c>
      <c r="O22" s="30">
        <v>2213.3432406225502</v>
      </c>
      <c r="P22" s="30">
        <v>2192.7533446129719</v>
      </c>
      <c r="Q22" s="30">
        <v>2172.163448603394</v>
      </c>
      <c r="R22" s="30">
        <v>2151.5735525938171</v>
      </c>
      <c r="S22" s="30">
        <v>2130.9836565842388</v>
      </c>
      <c r="T22" s="30">
        <v>2110.393760574661</v>
      </c>
      <c r="U22" s="30">
        <v>2089.803864565084</v>
      </c>
      <c r="V22" s="30">
        <v>2069.2139685555062</v>
      </c>
      <c r="W22" s="30">
        <v>2048.6240725459279</v>
      </c>
      <c r="X22" s="30">
        <v>2028.034176536351</v>
      </c>
      <c r="Y22" s="30">
        <v>2007.4442805267729</v>
      </c>
      <c r="Z22" s="30">
        <v>1986.8543845171951</v>
      </c>
      <c r="AA22" s="30">
        <v>1966.264488507617</v>
      </c>
      <c r="AB22" s="30">
        <v>1945.6745924980401</v>
      </c>
      <c r="AC22" s="30">
        <v>1925.084696488462</v>
      </c>
      <c r="AD22" s="30">
        <v>1904.4948004788839</v>
      </c>
      <c r="AE22" s="30">
        <v>1883.904904469307</v>
      </c>
      <c r="AF22" s="30">
        <v>1863.3150084597289</v>
      </c>
      <c r="AG22" s="30">
        <v>1842.7251124501511</v>
      </c>
      <c r="AH22" s="30">
        <v>1822.1352164405739</v>
      </c>
      <c r="AI22" s="30">
        <v>1801.5453204309961</v>
      </c>
      <c r="AJ22" s="30">
        <v>1780.955424421418</v>
      </c>
      <c r="AK22" s="30">
        <v>1760.3655284118411</v>
      </c>
      <c r="AL22" s="30">
        <v>1739.775632402263</v>
      </c>
      <c r="AM22" s="30">
        <v>1719.1857363926849</v>
      </c>
      <c r="AN22" s="30">
        <v>1698.595840383108</v>
      </c>
      <c r="AO22" s="30">
        <v>1678.0059443735299</v>
      </c>
      <c r="AP22" s="30">
        <v>1657.4160483639521</v>
      </c>
      <c r="AQ22" s="30">
        <v>1636.826152354374</v>
      </c>
      <c r="AR22" s="30">
        <v>1616.2362563447971</v>
      </c>
      <c r="AS22" s="30">
        <v>1595.646360335219</v>
      </c>
      <c r="AT22" s="30">
        <v>1575.0564643256409</v>
      </c>
      <c r="AU22" s="30">
        <v>1554.466568316064</v>
      </c>
      <c r="AV22" s="30">
        <v>1533.8766723064859</v>
      </c>
      <c r="AW22" s="30">
        <v>1513.2867762969081</v>
      </c>
      <c r="AX22" s="30">
        <v>1492.6968802873309</v>
      </c>
      <c r="AY22" s="30">
        <v>1472.1069842777531</v>
      </c>
      <c r="AZ22" s="30">
        <v>1451.517088268175</v>
      </c>
      <c r="BA22" s="30">
        <v>1430.9271922585981</v>
      </c>
      <c r="BB22" s="30">
        <v>1410.33729624902</v>
      </c>
      <c r="BC22" s="30">
        <v>1389.747400239442</v>
      </c>
      <c r="BD22" s="30">
        <v>1369.1575042298639</v>
      </c>
      <c r="BE22" s="30">
        <v>1348.567608220287</v>
      </c>
      <c r="BF22" s="30">
        <v>1327.9777122107089</v>
      </c>
      <c r="BG22" s="30">
        <v>1307.387816201131</v>
      </c>
      <c r="BH22" s="30">
        <v>1286.7979201915541</v>
      </c>
      <c r="BI22" s="30">
        <v>1266.208024181976</v>
      </c>
      <c r="BJ22" s="30">
        <v>1245.618128172398</v>
      </c>
      <c r="BK22" s="30">
        <v>1225.028232162821</v>
      </c>
      <c r="BL22" s="30">
        <v>1204.438336153243</v>
      </c>
      <c r="BM22" s="30">
        <v>1183.8484401436649</v>
      </c>
      <c r="BN22" s="30">
        <v>1163.258544134088</v>
      </c>
      <c r="BO22" s="30">
        <v>1142.6686481245099</v>
      </c>
      <c r="BP22" s="30">
        <v>1122.0787521149321</v>
      </c>
      <c r="BQ22" s="30">
        <v>1101.488856105354</v>
      </c>
      <c r="BR22" s="30">
        <v>1080.8989600957771</v>
      </c>
      <c r="BS22" s="30">
        <v>1060.309064086199</v>
      </c>
      <c r="BT22" s="30">
        <v>1039.7191680766209</v>
      </c>
      <c r="BU22" s="30">
        <v>1019.129272067044</v>
      </c>
      <c r="BV22" s="30">
        <v>998.53937605746592</v>
      </c>
      <c r="BW22" s="30">
        <v>977.94948004788819</v>
      </c>
      <c r="BX22" s="30">
        <v>957.35958403831046</v>
      </c>
      <c r="BY22" s="30">
        <v>936.76968802873284</v>
      </c>
      <c r="BZ22" s="30">
        <v>916.17979201915512</v>
      </c>
      <c r="CA22" s="30">
        <v>0</v>
      </c>
      <c r="CB22" s="30">
        <v>0</v>
      </c>
      <c r="CC22" s="30">
        <v>0</v>
      </c>
      <c r="CD22" s="30">
        <v>0</v>
      </c>
      <c r="CE22" s="30">
        <v>0</v>
      </c>
      <c r="CF22" s="30">
        <v>0</v>
      </c>
      <c r="CG22" s="30">
        <v>0</v>
      </c>
      <c r="CH22" s="30">
        <v>0</v>
      </c>
      <c r="CI22" s="30">
        <v>0</v>
      </c>
      <c r="CJ22" s="30">
        <v>0</v>
      </c>
      <c r="CK22" s="30">
        <v>0</v>
      </c>
      <c r="CL22" s="30">
        <v>0</v>
      </c>
      <c r="CM22" s="30">
        <v>0</v>
      </c>
      <c r="CN22" s="30">
        <v>0</v>
      </c>
      <c r="CO22" s="30">
        <v>0</v>
      </c>
      <c r="CP22" s="30">
        <v>0</v>
      </c>
      <c r="CQ22" s="30">
        <v>0</v>
      </c>
      <c r="CR22" s="30">
        <v>0</v>
      </c>
      <c r="CS22" s="30">
        <v>0</v>
      </c>
      <c r="CT22" s="30">
        <v>0</v>
      </c>
      <c r="CU22" s="30">
        <v>0</v>
      </c>
      <c r="CV22" s="30">
        <v>0</v>
      </c>
      <c r="CW22" s="30">
        <v>0</v>
      </c>
      <c r="CX22" s="30">
        <v>0</v>
      </c>
      <c r="CY22" s="30">
        <v>0</v>
      </c>
      <c r="CZ22" s="30">
        <v>0</v>
      </c>
      <c r="DA22" s="30">
        <v>0</v>
      </c>
      <c r="DB22" s="30">
        <v>0</v>
      </c>
    </row>
    <row r="23" spans="1:106" x14ac:dyDescent="0.45">
      <c r="A23" s="24" t="s">
        <v>206</v>
      </c>
      <c r="B23" s="25" t="s">
        <v>18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</row>
  </sheetData>
  <mergeCells count="5">
    <mergeCell ref="A1:DB1"/>
    <mergeCell ref="A8:DB8"/>
    <mergeCell ref="A12:DB12"/>
    <mergeCell ref="A3:DB3"/>
    <mergeCell ref="A21:DB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B13"/>
  <sheetViews>
    <sheetView showGridLines="0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2" customWidth="1"/>
    <col min="2" max="2" width="12" customWidth="1"/>
    <col min="3" max="106" width="11" customWidth="1"/>
  </cols>
  <sheetData>
    <row r="1" spans="1:106" ht="28.05" customHeight="1" x14ac:dyDescent="0.45">
      <c r="A1" s="60" t="s">
        <v>231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</row>
    <row r="2" spans="1:106" x14ac:dyDescent="0.45">
      <c r="A2" s="21" t="s">
        <v>68</v>
      </c>
      <c r="B2" s="21" t="s">
        <v>69</v>
      </c>
      <c r="C2" s="22" t="s">
        <v>70</v>
      </c>
      <c r="D2" s="22" t="s">
        <v>71</v>
      </c>
      <c r="E2" s="22" t="s">
        <v>72</v>
      </c>
      <c r="F2" s="22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23" t="s">
        <v>78</v>
      </c>
      <c r="L2" s="23" t="s">
        <v>79</v>
      </c>
      <c r="M2" s="23" t="s">
        <v>80</v>
      </c>
      <c r="N2" s="23" t="s">
        <v>81</v>
      </c>
      <c r="O2" s="23" t="s">
        <v>82</v>
      </c>
      <c r="P2" s="23" t="s">
        <v>83</v>
      </c>
      <c r="Q2" s="23" t="s">
        <v>84</v>
      </c>
      <c r="R2" s="23" t="s">
        <v>85</v>
      </c>
      <c r="S2" s="23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3" t="s">
        <v>91</v>
      </c>
      <c r="Y2" s="23" t="s">
        <v>92</v>
      </c>
      <c r="Z2" s="23" t="s">
        <v>93</v>
      </c>
      <c r="AA2" s="23" t="s">
        <v>94</v>
      </c>
      <c r="AB2" s="23" t="s">
        <v>95</v>
      </c>
      <c r="AC2" s="23" t="s">
        <v>96</v>
      </c>
      <c r="AD2" s="23" t="s">
        <v>97</v>
      </c>
      <c r="AE2" s="23" t="s">
        <v>98</v>
      </c>
      <c r="AF2" s="23" t="s">
        <v>99</v>
      </c>
      <c r="AG2" s="23" t="s">
        <v>100</v>
      </c>
      <c r="AH2" s="23" t="s">
        <v>101</v>
      </c>
      <c r="AI2" s="23" t="s">
        <v>102</v>
      </c>
      <c r="AJ2" s="23" t="s">
        <v>103</v>
      </c>
      <c r="AK2" s="23" t="s">
        <v>104</v>
      </c>
      <c r="AL2" s="23" t="s">
        <v>105</v>
      </c>
      <c r="AM2" s="23" t="s">
        <v>106</v>
      </c>
      <c r="AN2" s="23" t="s">
        <v>107</v>
      </c>
      <c r="AO2" s="23" t="s">
        <v>108</v>
      </c>
      <c r="AP2" s="23" t="s">
        <v>109</v>
      </c>
      <c r="AQ2" s="23" t="s">
        <v>110</v>
      </c>
      <c r="AR2" s="23" t="s">
        <v>111</v>
      </c>
      <c r="AS2" s="23" t="s">
        <v>112</v>
      </c>
      <c r="AT2" s="23" t="s">
        <v>113</v>
      </c>
      <c r="AU2" s="23" t="s">
        <v>114</v>
      </c>
      <c r="AV2" s="23" t="s">
        <v>115</v>
      </c>
      <c r="AW2" s="23" t="s">
        <v>116</v>
      </c>
      <c r="AX2" s="23" t="s">
        <v>117</v>
      </c>
      <c r="AY2" s="23" t="s">
        <v>118</v>
      </c>
      <c r="AZ2" s="23" t="s">
        <v>119</v>
      </c>
      <c r="BA2" s="23" t="s">
        <v>120</v>
      </c>
      <c r="BB2" s="23" t="s">
        <v>121</v>
      </c>
      <c r="BC2" s="23" t="s">
        <v>122</v>
      </c>
      <c r="BD2" s="23" t="s">
        <v>123</v>
      </c>
      <c r="BE2" s="23" t="s">
        <v>124</v>
      </c>
      <c r="BF2" s="23" t="s">
        <v>125</v>
      </c>
      <c r="BG2" s="23" t="s">
        <v>126</v>
      </c>
      <c r="BH2" s="23" t="s">
        <v>127</v>
      </c>
      <c r="BI2" s="23" t="s">
        <v>128</v>
      </c>
      <c r="BJ2" s="23" t="s">
        <v>129</v>
      </c>
      <c r="BK2" s="23" t="s">
        <v>130</v>
      </c>
      <c r="BL2" s="23" t="s">
        <v>131</v>
      </c>
      <c r="BM2" s="23" t="s">
        <v>132</v>
      </c>
      <c r="BN2" s="23" t="s">
        <v>133</v>
      </c>
      <c r="BO2" s="23" t="s">
        <v>134</v>
      </c>
      <c r="BP2" s="23" t="s">
        <v>135</v>
      </c>
      <c r="BQ2" s="23" t="s">
        <v>136</v>
      </c>
      <c r="BR2" s="23" t="s">
        <v>137</v>
      </c>
      <c r="BS2" s="23" t="s">
        <v>138</v>
      </c>
      <c r="BT2" s="23" t="s">
        <v>139</v>
      </c>
      <c r="BU2" s="23" t="s">
        <v>140</v>
      </c>
      <c r="BV2" s="23" t="s">
        <v>141</v>
      </c>
      <c r="BW2" s="23" t="s">
        <v>142</v>
      </c>
      <c r="BX2" s="23" t="s">
        <v>143</v>
      </c>
      <c r="BY2" s="23" t="s">
        <v>144</v>
      </c>
      <c r="BZ2" s="23" t="s">
        <v>145</v>
      </c>
      <c r="CA2" s="23" t="s">
        <v>146</v>
      </c>
      <c r="CB2" s="23" t="s">
        <v>147</v>
      </c>
      <c r="CC2" s="23" t="s">
        <v>148</v>
      </c>
      <c r="CD2" s="23" t="s">
        <v>149</v>
      </c>
      <c r="CE2" s="23" t="s">
        <v>150</v>
      </c>
      <c r="CF2" s="23" t="s">
        <v>151</v>
      </c>
      <c r="CG2" s="23" t="s">
        <v>152</v>
      </c>
      <c r="CH2" s="23" t="s">
        <v>153</v>
      </c>
      <c r="CI2" s="23" t="s">
        <v>154</v>
      </c>
      <c r="CJ2" s="23" t="s">
        <v>155</v>
      </c>
      <c r="CK2" s="23" t="s">
        <v>156</v>
      </c>
      <c r="CL2" s="23" t="s">
        <v>157</v>
      </c>
      <c r="CM2" s="23" t="s">
        <v>158</v>
      </c>
      <c r="CN2" s="23" t="s">
        <v>159</v>
      </c>
      <c r="CO2" s="23" t="s">
        <v>160</v>
      </c>
      <c r="CP2" s="23" t="s">
        <v>161</v>
      </c>
      <c r="CQ2" s="23" t="s">
        <v>162</v>
      </c>
      <c r="CR2" s="23" t="s">
        <v>163</v>
      </c>
      <c r="CS2" s="23" t="s">
        <v>164</v>
      </c>
      <c r="CT2" s="23" t="s">
        <v>165</v>
      </c>
      <c r="CU2" s="23" t="s">
        <v>166</v>
      </c>
      <c r="CV2" s="23" t="s">
        <v>167</v>
      </c>
      <c r="CW2" s="23" t="s">
        <v>168</v>
      </c>
      <c r="CX2" s="23" t="s">
        <v>169</v>
      </c>
      <c r="CY2" s="23" t="s">
        <v>170</v>
      </c>
      <c r="CZ2" s="23" t="s">
        <v>171</v>
      </c>
      <c r="DA2" s="23" t="s">
        <v>172</v>
      </c>
      <c r="DB2" s="23" t="s">
        <v>173</v>
      </c>
    </row>
    <row r="3" spans="1:106" x14ac:dyDescent="0.45">
      <c r="A3" s="61" t="s">
        <v>232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</row>
    <row r="4" spans="1:106" x14ac:dyDescent="0.45">
      <c r="A4" s="24" t="s">
        <v>233</v>
      </c>
      <c r="B4" s="25" t="s">
        <v>176</v>
      </c>
      <c r="C4" s="26">
        <v>0</v>
      </c>
      <c r="D4" s="26">
        <v>0</v>
      </c>
      <c r="E4" s="26">
        <v>0</v>
      </c>
      <c r="F4" s="26">
        <v>0</v>
      </c>
      <c r="G4" s="26">
        <v>47939100</v>
      </c>
      <c r="H4" s="26">
        <v>47879063.438894942</v>
      </c>
      <c r="I4" s="26">
        <v>47819102.064613782</v>
      </c>
      <c r="J4" s="26">
        <v>47759215.782996237</v>
      </c>
      <c r="K4" s="26">
        <v>47699404.5</v>
      </c>
      <c r="L4" s="26">
        <v>47639668.121700473</v>
      </c>
      <c r="M4" s="26">
        <v>47580006.554290712</v>
      </c>
      <c r="N4" s="26">
        <v>47520419.70408126</v>
      </c>
      <c r="O4" s="26">
        <v>47460907.477499999</v>
      </c>
      <c r="P4" s="26">
        <v>47401469.781091973</v>
      </c>
      <c r="Q4" s="26">
        <v>47342106.521519259</v>
      </c>
      <c r="R4" s="26">
        <v>47282817.605560862</v>
      </c>
      <c r="S4" s="26">
        <v>47223602.940112486</v>
      </c>
      <c r="T4" s="26">
        <v>47164462.432186507</v>
      </c>
      <c r="U4" s="26">
        <v>47105395.988911673</v>
      </c>
      <c r="V4" s="26">
        <v>47046403.517533056</v>
      </c>
      <c r="W4" s="26">
        <v>46987484.92541194</v>
      </c>
      <c r="X4" s="26">
        <v>46928640.120025583</v>
      </c>
      <c r="Y4" s="26">
        <v>46869869.008967102</v>
      </c>
      <c r="Z4" s="26">
        <v>46811171.499945387</v>
      </c>
      <c r="AA4" s="26">
        <v>46752547.500784867</v>
      </c>
      <c r="AB4" s="26">
        <v>46693996.919425443</v>
      </c>
      <c r="AC4" s="26">
        <v>46635519.663922273</v>
      </c>
      <c r="AD4" s="26">
        <v>46577115.642445661</v>
      </c>
      <c r="AE4" s="26">
        <v>46518784.76328095</v>
      </c>
      <c r="AF4" s="26">
        <v>46460526.934828319</v>
      </c>
      <c r="AG4" s="26">
        <v>46402342.06560266</v>
      </c>
      <c r="AH4" s="26">
        <v>46344230.064233437</v>
      </c>
      <c r="AI4" s="26">
        <v>46286190.839464553</v>
      </c>
      <c r="AJ4" s="26">
        <v>46228224.300154179</v>
      </c>
      <c r="AK4" s="26">
        <v>46170330.35527464</v>
      </c>
      <c r="AL4" s="26">
        <v>46112508.913912266</v>
      </c>
      <c r="AM4" s="26">
        <v>46054759.88526722</v>
      </c>
      <c r="AN4" s="26">
        <v>45997083.178653397</v>
      </c>
      <c r="AO4" s="26">
        <v>45939478.703498267</v>
      </c>
      <c r="AP4" s="26">
        <v>45881946.369342707</v>
      </c>
      <c r="AQ4" s="26">
        <v>45824486.085840888</v>
      </c>
      <c r="AR4" s="26">
        <v>45767097.76276014</v>
      </c>
      <c r="AS4" s="26">
        <v>45709781.309980772</v>
      </c>
      <c r="AT4" s="26">
        <v>45652536.637495987</v>
      </c>
      <c r="AU4" s="26">
        <v>45595363.655411683</v>
      </c>
      <c r="AV4" s="26">
        <v>45538262.273946337</v>
      </c>
      <c r="AW4" s="26">
        <v>45481232.403430872</v>
      </c>
      <c r="AX4" s="26">
        <v>45424273.95430851</v>
      </c>
      <c r="AY4" s="26">
        <v>45367386.837134622</v>
      </c>
      <c r="AZ4" s="26">
        <v>45310570.962576613</v>
      </c>
      <c r="BA4" s="26">
        <v>45253826.24141372</v>
      </c>
      <c r="BB4" s="26">
        <v>45197152.58453697</v>
      </c>
      <c r="BC4" s="26">
        <v>45140549.902948953</v>
      </c>
      <c r="BD4" s="26">
        <v>45084018.107763723</v>
      </c>
      <c r="BE4" s="26">
        <v>45027557.110206649</v>
      </c>
      <c r="BF4" s="26">
        <v>44971166.821614288</v>
      </c>
      <c r="BG4" s="26">
        <v>44914847.15343421</v>
      </c>
      <c r="BH4" s="26">
        <v>44858598.0172249</v>
      </c>
      <c r="BI4" s="26">
        <v>44802419.324655607</v>
      </c>
      <c r="BJ4" s="26">
        <v>44746310.987506211</v>
      </c>
      <c r="BK4" s="26">
        <v>44690272.917667039</v>
      </c>
      <c r="BL4" s="26">
        <v>44634305.027138777</v>
      </c>
      <c r="BM4" s="26">
        <v>44578407.228032343</v>
      </c>
      <c r="BN4" s="26">
        <v>44522579.432568677</v>
      </c>
      <c r="BO4" s="26">
        <v>44466821.553078704</v>
      </c>
      <c r="BP4" s="26">
        <v>44411133.502003081</v>
      </c>
      <c r="BQ4" s="26">
        <v>44355515.191892177</v>
      </c>
      <c r="BR4" s="26">
        <v>44299966.535405837</v>
      </c>
      <c r="BS4" s="26">
        <v>44244487.445313297</v>
      </c>
      <c r="BT4" s="26">
        <v>44189077.834493071</v>
      </c>
      <c r="BU4" s="26">
        <v>44133737.61593271</v>
      </c>
      <c r="BV4" s="26">
        <v>44078466.702728808</v>
      </c>
      <c r="BW4" s="26">
        <v>44023265.008086741</v>
      </c>
      <c r="BX4" s="26">
        <v>43968132.445320614</v>
      </c>
      <c r="BY4" s="26">
        <v>43913068.927853063</v>
      </c>
      <c r="BZ4" s="26">
        <v>43858074.369215161</v>
      </c>
      <c r="CA4" s="26">
        <v>43803148.683046304</v>
      </c>
      <c r="CB4" s="26">
        <v>43748291.783093996</v>
      </c>
      <c r="CC4" s="26">
        <v>43693503.583213776</v>
      </c>
      <c r="CD4" s="26">
        <v>43638783.997369088</v>
      </c>
      <c r="CE4" s="26">
        <v>43584132.939631067</v>
      </c>
      <c r="CF4" s="26">
        <v>43529550.324178532</v>
      </c>
      <c r="CG4" s="26">
        <v>43475036.065297723</v>
      </c>
      <c r="CH4" s="26">
        <v>43420590.077382237</v>
      </c>
      <c r="CI4" s="26">
        <v>43366212.274932921</v>
      </c>
      <c r="CJ4" s="26">
        <v>43311902.572557643</v>
      </c>
      <c r="CK4" s="26">
        <v>43257660.884971216</v>
      </c>
      <c r="CL4" s="26">
        <v>43203487.126995333</v>
      </c>
      <c r="CM4" s="26">
        <v>43149381.213558257</v>
      </c>
      <c r="CN4" s="26">
        <v>43095343.059694849</v>
      </c>
      <c r="CO4" s="26">
        <v>43041372.580546372</v>
      </c>
      <c r="CP4" s="26">
        <v>42987469.691360347</v>
      </c>
      <c r="CQ4" s="26">
        <v>42933634.307490461</v>
      </c>
      <c r="CR4" s="26">
        <v>42879866.344396383</v>
      </c>
      <c r="CS4" s="26">
        <v>42826165.717643641</v>
      </c>
      <c r="CT4" s="26">
        <v>42772532.342903547</v>
      </c>
      <c r="CU4" s="26">
        <v>42718966.135953009</v>
      </c>
      <c r="CV4" s="26">
        <v>42665467.012674391</v>
      </c>
      <c r="CW4" s="26">
        <v>42612034.889055423</v>
      </c>
      <c r="CX4" s="26">
        <v>42558669.68118903</v>
      </c>
      <c r="CY4" s="26">
        <v>42505371.305273242</v>
      </c>
      <c r="CZ4" s="26">
        <v>42452139.677611023</v>
      </c>
      <c r="DA4" s="26">
        <v>42398974.714610137</v>
      </c>
      <c r="DB4" s="26">
        <v>42345876.332783088</v>
      </c>
    </row>
    <row r="5" spans="1:106" x14ac:dyDescent="0.45">
      <c r="A5" s="27" t="s">
        <v>234</v>
      </c>
      <c r="B5" s="28" t="s">
        <v>176</v>
      </c>
      <c r="C5" s="40">
        <v>0</v>
      </c>
      <c r="D5" s="40">
        <v>0</v>
      </c>
      <c r="E5" s="40">
        <v>0</v>
      </c>
      <c r="F5" s="40">
        <v>0</v>
      </c>
      <c r="G5" s="40">
        <v>47699404.5</v>
      </c>
      <c r="H5" s="40">
        <v>47639668.121700473</v>
      </c>
      <c r="I5" s="40">
        <v>47580006.554290712</v>
      </c>
      <c r="J5" s="40">
        <v>47520419.70408126</v>
      </c>
      <c r="K5" s="40">
        <v>47460907.477499999</v>
      </c>
      <c r="L5" s="40">
        <v>47401469.781091973</v>
      </c>
      <c r="M5" s="40">
        <v>47342106.521519259</v>
      </c>
      <c r="N5" s="40">
        <v>47282817.605560847</v>
      </c>
      <c r="O5" s="40">
        <v>47223602.940112501</v>
      </c>
      <c r="P5" s="40">
        <v>47164462.432186507</v>
      </c>
      <c r="Q5" s="40">
        <v>47105395.988911659</v>
      </c>
      <c r="R5" s="40">
        <v>47046403.517533056</v>
      </c>
      <c r="S5" s="40">
        <v>46987484.925411932</v>
      </c>
      <c r="T5" s="40">
        <v>46928640.120025583</v>
      </c>
      <c r="U5" s="40">
        <v>46869869.008967109</v>
      </c>
      <c r="V5" s="40">
        <v>46811171.499945387</v>
      </c>
      <c r="W5" s="40">
        <v>46752547.500784881</v>
      </c>
      <c r="X5" s="40">
        <v>46693996.91942545</v>
      </c>
      <c r="Y5" s="40">
        <v>46635519.663922273</v>
      </c>
      <c r="Z5" s="40">
        <v>46577115.642445661</v>
      </c>
      <c r="AA5" s="40">
        <v>46518784.76328095</v>
      </c>
      <c r="AB5" s="40">
        <v>46460526.934828319</v>
      </c>
      <c r="AC5" s="40">
        <v>46402342.06560266</v>
      </c>
      <c r="AD5" s="40">
        <v>46344230.06423343</v>
      </c>
      <c r="AE5" s="40">
        <v>46286190.839464553</v>
      </c>
      <c r="AF5" s="40">
        <v>46228224.300154179</v>
      </c>
      <c r="AG5" s="40">
        <v>46170330.355274647</v>
      </c>
      <c r="AH5" s="40">
        <v>46112508.913912266</v>
      </c>
      <c r="AI5" s="40">
        <v>46054759.88526722</v>
      </c>
      <c r="AJ5" s="40">
        <v>45997083.178653412</v>
      </c>
      <c r="AK5" s="40">
        <v>45939478.703498267</v>
      </c>
      <c r="AL5" s="40">
        <v>45881946.369342707</v>
      </c>
      <c r="AM5" s="40">
        <v>45824486.085840881</v>
      </c>
      <c r="AN5" s="40">
        <v>45767097.76276014</v>
      </c>
      <c r="AO5" s="40">
        <v>45709781.309980772</v>
      </c>
      <c r="AP5" s="40">
        <v>45652536.637495987</v>
      </c>
      <c r="AQ5" s="40">
        <v>45595363.655411683</v>
      </c>
      <c r="AR5" s="40">
        <v>45538262.273946337</v>
      </c>
      <c r="AS5" s="40">
        <v>45481232.403430872</v>
      </c>
      <c r="AT5" s="40">
        <v>45424273.95430851</v>
      </c>
      <c r="AU5" s="40">
        <v>45367386.837134622</v>
      </c>
      <c r="AV5" s="40">
        <v>45310570.962576613</v>
      </c>
      <c r="AW5" s="40">
        <v>45253826.24141372</v>
      </c>
      <c r="AX5" s="40">
        <v>45197152.58453697</v>
      </c>
      <c r="AY5" s="40">
        <v>45140549.902948953</v>
      </c>
      <c r="AZ5" s="40">
        <v>45084018.107763723</v>
      </c>
      <c r="BA5" s="40">
        <v>45027557.110206649</v>
      </c>
      <c r="BB5" s="40">
        <v>44971166.821614288</v>
      </c>
      <c r="BC5" s="40">
        <v>44914847.15343421</v>
      </c>
      <c r="BD5" s="40">
        <v>44858598.0172249</v>
      </c>
      <c r="BE5" s="40">
        <v>44802419.324655607</v>
      </c>
      <c r="BF5" s="40">
        <v>44746310.987506218</v>
      </c>
      <c r="BG5" s="40">
        <v>44690272.917667039</v>
      </c>
      <c r="BH5" s="40">
        <v>44634305.027138777</v>
      </c>
      <c r="BI5" s="40">
        <v>44578407.228032343</v>
      </c>
      <c r="BJ5" s="40">
        <v>44522579.432568677</v>
      </c>
      <c r="BK5" s="40">
        <v>44466821.553078704</v>
      </c>
      <c r="BL5" s="40">
        <v>44411133.502003081</v>
      </c>
      <c r="BM5" s="40">
        <v>44355515.191892177</v>
      </c>
      <c r="BN5" s="40">
        <v>44299966.53540583</v>
      </c>
      <c r="BO5" s="40">
        <v>44244487.445313297</v>
      </c>
      <c r="BP5" s="40">
        <v>44189077.834493063</v>
      </c>
      <c r="BQ5" s="40">
        <v>44133737.615932718</v>
      </c>
      <c r="BR5" s="40">
        <v>44078466.702728808</v>
      </c>
      <c r="BS5" s="40">
        <v>44023265.008086741</v>
      </c>
      <c r="BT5" s="40">
        <v>43968132.445320614</v>
      </c>
      <c r="BU5" s="40">
        <v>43913068.927853048</v>
      </c>
      <c r="BV5" s="40">
        <v>43858074.369215161</v>
      </c>
      <c r="BW5" s="40">
        <v>43803148.683046304</v>
      </c>
      <c r="BX5" s="40">
        <v>43748291.783093996</v>
      </c>
      <c r="BY5" s="40">
        <v>43693503.583213791</v>
      </c>
      <c r="BZ5" s="40">
        <v>43638783.997369088</v>
      </c>
      <c r="CA5" s="40">
        <v>43584132.939631067</v>
      </c>
      <c r="CB5" s="40">
        <v>43529550.324178517</v>
      </c>
      <c r="CC5" s="40">
        <v>43475036.065297723</v>
      </c>
      <c r="CD5" s="40">
        <v>43420590.077382237</v>
      </c>
      <c r="CE5" s="40">
        <v>43366212.274932921</v>
      </c>
      <c r="CF5" s="40">
        <v>43311902.572557643</v>
      </c>
      <c r="CG5" s="40">
        <v>43257660.884971216</v>
      </c>
      <c r="CH5" s="40">
        <v>43203487.126995333</v>
      </c>
      <c r="CI5" s="40">
        <v>43149381.213558257</v>
      </c>
      <c r="CJ5" s="40">
        <v>43095343.059694849</v>
      </c>
      <c r="CK5" s="40">
        <v>43041372.580546357</v>
      </c>
      <c r="CL5" s="40">
        <v>42987469.691360347</v>
      </c>
      <c r="CM5" s="40">
        <v>42933634.307490468</v>
      </c>
      <c r="CN5" s="40">
        <v>42879866.344396383</v>
      </c>
      <c r="CO5" s="40">
        <v>42826165.717643641</v>
      </c>
      <c r="CP5" s="40">
        <v>42772532.342903547</v>
      </c>
      <c r="CQ5" s="40">
        <v>42718966.135953009</v>
      </c>
      <c r="CR5" s="40">
        <v>42665467.012674391</v>
      </c>
      <c r="CS5" s="40">
        <v>42612034.889055423</v>
      </c>
      <c r="CT5" s="40">
        <v>42558669.68118903</v>
      </c>
      <c r="CU5" s="40">
        <v>42505371.305273242</v>
      </c>
      <c r="CV5" s="40">
        <v>42452139.677611023</v>
      </c>
      <c r="CW5" s="40">
        <v>42398974.714610137</v>
      </c>
      <c r="CX5" s="40">
        <v>42345876.332783088</v>
      </c>
      <c r="CY5" s="40">
        <v>42292844.448746867</v>
      </c>
      <c r="CZ5" s="40">
        <v>42239878.979222961</v>
      </c>
      <c r="DA5" s="40">
        <v>42186979.841037087</v>
      </c>
      <c r="DB5" s="40">
        <v>42134146.95111917</v>
      </c>
    </row>
    <row r="7" spans="1:106" x14ac:dyDescent="0.45">
      <c r="A7" s="61" t="s">
        <v>174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</row>
    <row r="8" spans="1:106" x14ac:dyDescent="0.45">
      <c r="A8" s="24" t="s">
        <v>235</v>
      </c>
      <c r="B8" s="25" t="s">
        <v>35</v>
      </c>
      <c r="C8" s="41"/>
      <c r="D8" s="41"/>
      <c r="E8" s="41"/>
      <c r="F8" s="41"/>
      <c r="G8" s="41">
        <v>2.65</v>
      </c>
      <c r="H8" s="41">
        <v>2.65</v>
      </c>
      <c r="I8" s="41">
        <v>2.65</v>
      </c>
      <c r="J8" s="41">
        <v>2.649999999999999</v>
      </c>
      <c r="K8" s="41">
        <v>2.65</v>
      </c>
      <c r="L8" s="41">
        <v>2.65</v>
      </c>
      <c r="M8" s="41">
        <v>2.65</v>
      </c>
      <c r="N8" s="41">
        <v>2.65</v>
      </c>
      <c r="O8" s="41">
        <v>2.65</v>
      </c>
      <c r="P8" s="41">
        <v>2.649999999999999</v>
      </c>
      <c r="Q8" s="41">
        <v>2.649999999999999</v>
      </c>
      <c r="R8" s="41">
        <v>2.65</v>
      </c>
      <c r="S8" s="41">
        <v>2.65</v>
      </c>
      <c r="T8" s="41">
        <v>2.65</v>
      </c>
      <c r="U8" s="41">
        <v>2.65</v>
      </c>
      <c r="V8" s="41">
        <v>2.65</v>
      </c>
      <c r="W8" s="41">
        <v>2.65</v>
      </c>
      <c r="X8" s="41">
        <v>2.65</v>
      </c>
      <c r="Y8" s="41">
        <v>2.649999999999999</v>
      </c>
      <c r="Z8" s="41">
        <v>2.65</v>
      </c>
      <c r="AA8" s="41">
        <v>2.65</v>
      </c>
      <c r="AB8" s="41">
        <v>2.65</v>
      </c>
      <c r="AC8" s="41">
        <v>2.65</v>
      </c>
      <c r="AD8" s="41">
        <v>2.65</v>
      </c>
      <c r="AE8" s="41">
        <v>2.65</v>
      </c>
      <c r="AF8" s="41">
        <v>2.65</v>
      </c>
      <c r="AG8" s="41">
        <v>2.65</v>
      </c>
      <c r="AH8" s="41">
        <v>2.65</v>
      </c>
      <c r="AI8" s="41">
        <v>2.65</v>
      </c>
      <c r="AJ8" s="41">
        <v>2.65</v>
      </c>
      <c r="AK8" s="41">
        <v>2.65</v>
      </c>
      <c r="AL8" s="41">
        <v>2.65</v>
      </c>
      <c r="AM8" s="41">
        <v>2.65</v>
      </c>
      <c r="AN8" s="41">
        <v>2.65</v>
      </c>
      <c r="AO8" s="41">
        <v>2.65</v>
      </c>
      <c r="AP8" s="41">
        <v>2.65</v>
      </c>
      <c r="AQ8" s="41">
        <v>2.65</v>
      </c>
      <c r="AR8" s="41">
        <v>2.65</v>
      </c>
      <c r="AS8" s="41">
        <v>2.649999999999999</v>
      </c>
      <c r="AT8" s="41">
        <v>2.65</v>
      </c>
      <c r="AU8" s="41">
        <v>2.649999999999999</v>
      </c>
      <c r="AV8" s="41">
        <v>2.65</v>
      </c>
      <c r="AW8" s="41">
        <v>2.65</v>
      </c>
      <c r="AX8" s="41">
        <v>2.65</v>
      </c>
      <c r="AY8" s="41">
        <v>2.65</v>
      </c>
      <c r="AZ8" s="41">
        <v>2.649999999999999</v>
      </c>
      <c r="BA8" s="41">
        <v>2.65</v>
      </c>
      <c r="BB8" s="41">
        <v>2.65</v>
      </c>
      <c r="BC8" s="41">
        <v>2.65</v>
      </c>
      <c r="BD8" s="41">
        <v>2.65</v>
      </c>
      <c r="BE8" s="41">
        <v>2.65</v>
      </c>
      <c r="BF8" s="41">
        <v>2.65</v>
      </c>
      <c r="BG8" s="41">
        <v>2.65</v>
      </c>
      <c r="BH8" s="41">
        <v>2.65</v>
      </c>
      <c r="BI8" s="41">
        <v>2.65</v>
      </c>
      <c r="BJ8" s="41">
        <v>2.65</v>
      </c>
      <c r="BK8" s="41">
        <v>2.65</v>
      </c>
      <c r="BL8" s="41">
        <v>2.65</v>
      </c>
      <c r="BM8" s="41">
        <v>2.65</v>
      </c>
      <c r="BN8" s="41">
        <v>2.65</v>
      </c>
      <c r="BO8" s="41">
        <v>2.65</v>
      </c>
      <c r="BP8" s="41">
        <v>2.65</v>
      </c>
      <c r="BQ8" s="41">
        <v>2.65</v>
      </c>
      <c r="BR8" s="41">
        <v>2.65</v>
      </c>
      <c r="BS8" s="41">
        <v>2.65</v>
      </c>
      <c r="BT8" s="41">
        <v>2.65</v>
      </c>
      <c r="BU8" s="41">
        <v>2.65</v>
      </c>
      <c r="BV8" s="41">
        <v>2.65</v>
      </c>
      <c r="BW8" s="41">
        <v>2.65</v>
      </c>
      <c r="BX8" s="41">
        <v>2.65</v>
      </c>
      <c r="BY8" s="41">
        <v>2.649999999999999</v>
      </c>
      <c r="BZ8" s="41">
        <v>2.65</v>
      </c>
      <c r="CA8" s="41">
        <v>2.65</v>
      </c>
      <c r="CB8" s="41">
        <v>2.65</v>
      </c>
      <c r="CC8" s="41">
        <v>2.65</v>
      </c>
      <c r="CD8" s="41">
        <v>2.65</v>
      </c>
      <c r="CE8" s="41">
        <v>2.65</v>
      </c>
      <c r="CF8" s="41">
        <v>2.65</v>
      </c>
      <c r="CG8" s="41">
        <v>2.65</v>
      </c>
      <c r="CH8" s="41">
        <v>2.649999999999999</v>
      </c>
      <c r="CI8" s="41">
        <v>2.65</v>
      </c>
      <c r="CJ8" s="41">
        <v>2.65</v>
      </c>
      <c r="CK8" s="41">
        <v>2.65</v>
      </c>
      <c r="CL8" s="41">
        <v>2.65</v>
      </c>
      <c r="CM8" s="41">
        <v>2.65</v>
      </c>
      <c r="CN8" s="41">
        <v>2.65</v>
      </c>
      <c r="CO8" s="41">
        <v>2.65</v>
      </c>
      <c r="CP8" s="41">
        <v>2.65</v>
      </c>
      <c r="CQ8" s="41">
        <v>2.65</v>
      </c>
      <c r="CR8" s="41">
        <v>2.65</v>
      </c>
      <c r="CS8" s="41">
        <v>2.649999999999999</v>
      </c>
      <c r="CT8" s="41">
        <v>2.65</v>
      </c>
      <c r="CU8" s="41">
        <v>2.65</v>
      </c>
      <c r="CV8" s="41">
        <v>2.65</v>
      </c>
      <c r="CW8" s="41">
        <v>2.65</v>
      </c>
      <c r="CX8" s="41">
        <v>2.65</v>
      </c>
      <c r="CY8" s="41">
        <v>2.65</v>
      </c>
      <c r="CZ8" s="41">
        <v>2.65</v>
      </c>
      <c r="DA8" s="41">
        <v>2.65</v>
      </c>
      <c r="DB8" s="41">
        <v>2.65</v>
      </c>
    </row>
    <row r="9" spans="1:106" x14ac:dyDescent="0.45">
      <c r="A9" s="27" t="s">
        <v>236</v>
      </c>
      <c r="B9" s="28" t="s">
        <v>18</v>
      </c>
      <c r="C9" s="29">
        <v>0</v>
      </c>
      <c r="D9" s="29">
        <v>0</v>
      </c>
      <c r="E9" s="29">
        <v>0</v>
      </c>
      <c r="F9" s="29">
        <v>0</v>
      </c>
      <c r="G9" s="29">
        <v>1264.03421925</v>
      </c>
      <c r="H9" s="29">
        <v>1262.451205225062</v>
      </c>
      <c r="I9" s="29">
        <v>1260.870173688704</v>
      </c>
      <c r="J9" s="29">
        <v>1259.291122158153</v>
      </c>
      <c r="K9" s="29">
        <v>1257.7140481537499</v>
      </c>
      <c r="L9" s="29">
        <v>1256.1389491989371</v>
      </c>
      <c r="M9" s="29">
        <v>1254.5658228202601</v>
      </c>
      <c r="N9" s="29">
        <v>1252.9946665473631</v>
      </c>
      <c r="O9" s="29">
        <v>1251.425477912981</v>
      </c>
      <c r="P9" s="29">
        <v>1249.858254452942</v>
      </c>
      <c r="Q9" s="29">
        <v>1248.292993706159</v>
      </c>
      <c r="R9" s="29">
        <v>1246.729693214626</v>
      </c>
      <c r="S9" s="29">
        <v>1245.1683505234159</v>
      </c>
      <c r="T9" s="29">
        <v>1243.6089631806781</v>
      </c>
      <c r="U9" s="29">
        <v>1242.0515287376279</v>
      </c>
      <c r="V9" s="29">
        <v>1240.496044748553</v>
      </c>
      <c r="W9" s="29">
        <v>1238.9425087707989</v>
      </c>
      <c r="X9" s="29">
        <v>1237.390918364775</v>
      </c>
      <c r="Y9" s="29">
        <v>1235.8412710939399</v>
      </c>
      <c r="Z9" s="29">
        <v>1234.2935645248101</v>
      </c>
      <c r="AA9" s="29">
        <v>1232.747796226945</v>
      </c>
      <c r="AB9" s="29">
        <v>1231.2039637729499</v>
      </c>
      <c r="AC9" s="29">
        <v>1229.66206473847</v>
      </c>
      <c r="AD9" s="29">
        <v>1228.1220967021859</v>
      </c>
      <c r="AE9" s="29">
        <v>1226.584057245811</v>
      </c>
      <c r="AF9" s="29">
        <v>1225.0479439540859</v>
      </c>
      <c r="AG9" s="29">
        <v>1223.5137544147781</v>
      </c>
      <c r="AH9" s="29">
        <v>1221.9814862186749</v>
      </c>
      <c r="AI9" s="29">
        <v>1220.4511369595809</v>
      </c>
      <c r="AJ9" s="29">
        <v>1218.922704234315</v>
      </c>
      <c r="AK9" s="29">
        <v>1217.396185642704</v>
      </c>
      <c r="AL9" s="29">
        <v>1215.8715787875819</v>
      </c>
      <c r="AM9" s="29">
        <v>1214.348881274783</v>
      </c>
      <c r="AN9" s="29">
        <v>1212.8280907131441</v>
      </c>
      <c r="AO9" s="29">
        <v>1211.309204714491</v>
      </c>
      <c r="AP9" s="29">
        <v>1209.7922208936441</v>
      </c>
      <c r="AQ9" s="29">
        <v>1208.27713686841</v>
      </c>
      <c r="AR9" s="29">
        <v>1206.763950259578</v>
      </c>
      <c r="AS9" s="29">
        <v>1205.252658690918</v>
      </c>
      <c r="AT9" s="29">
        <v>1203.743259789175</v>
      </c>
      <c r="AU9" s="29">
        <v>1202.2357511840671</v>
      </c>
      <c r="AV9" s="29">
        <v>1200.7301305082799</v>
      </c>
      <c r="AW9" s="29">
        <v>1199.2263953974641</v>
      </c>
      <c r="AX9" s="29">
        <v>1197.72454349023</v>
      </c>
      <c r="AY9" s="29">
        <v>1196.224572428147</v>
      </c>
      <c r="AZ9" s="29">
        <v>1194.726479855738</v>
      </c>
      <c r="BA9" s="29">
        <v>1193.2302634204759</v>
      </c>
      <c r="BB9" s="29">
        <v>1191.7359207727791</v>
      </c>
      <c r="BC9" s="29">
        <v>1190.243449566007</v>
      </c>
      <c r="BD9" s="29">
        <v>1188.7528474564599</v>
      </c>
      <c r="BE9" s="29">
        <v>1187.2641121033739</v>
      </c>
      <c r="BF9" s="29">
        <v>1185.777241168915</v>
      </c>
      <c r="BG9" s="29">
        <v>1184.292232318177</v>
      </c>
      <c r="BH9" s="29">
        <v>1182.8090832191781</v>
      </c>
      <c r="BI9" s="29">
        <v>1181.3277915428571</v>
      </c>
      <c r="BJ9" s="29">
        <v>1179.8483549630701</v>
      </c>
      <c r="BK9" s="29">
        <v>1178.370771156586</v>
      </c>
      <c r="BL9" s="29">
        <v>1176.895037803082</v>
      </c>
      <c r="BM9" s="29">
        <v>1175.4211525851431</v>
      </c>
      <c r="BN9" s="29">
        <v>1173.9491131882539</v>
      </c>
      <c r="BO9" s="29">
        <v>1172.478917300803</v>
      </c>
      <c r="BP9" s="29">
        <v>1171.010562614066</v>
      </c>
      <c r="BQ9" s="29">
        <v>1169.5440468222171</v>
      </c>
      <c r="BR9" s="29">
        <v>1168.0793676223129</v>
      </c>
      <c r="BS9" s="29">
        <v>1166.616522714299</v>
      </c>
      <c r="BT9" s="29">
        <v>1165.155509800996</v>
      </c>
      <c r="BU9" s="29">
        <v>1163.6963265881061</v>
      </c>
      <c r="BV9" s="29">
        <v>1162.2389707842019</v>
      </c>
      <c r="BW9" s="29">
        <v>1160.7834401007269</v>
      </c>
      <c r="BX9" s="29">
        <v>1159.3297322519909</v>
      </c>
      <c r="BY9" s="29">
        <v>1157.8778449551651</v>
      </c>
      <c r="BZ9" s="29">
        <v>1156.4277759302811</v>
      </c>
      <c r="CA9" s="29">
        <v>1154.9795229002229</v>
      </c>
      <c r="CB9" s="29">
        <v>1153.5330835907309</v>
      </c>
      <c r="CC9" s="29">
        <v>1152.0884557303889</v>
      </c>
      <c r="CD9" s="29">
        <v>1150.6456370506289</v>
      </c>
      <c r="CE9" s="29">
        <v>1149.2046252857219</v>
      </c>
      <c r="CF9" s="29">
        <v>1147.7654181727769</v>
      </c>
      <c r="CG9" s="29">
        <v>1146.328013451737</v>
      </c>
      <c r="CH9" s="29">
        <v>1144.892408865376</v>
      </c>
      <c r="CI9" s="29">
        <v>1143.4586021592941</v>
      </c>
      <c r="CJ9" s="29">
        <v>1142.026591081913</v>
      </c>
      <c r="CK9" s="29">
        <v>1140.596373384479</v>
      </c>
      <c r="CL9" s="29">
        <v>1139.1679468210491</v>
      </c>
      <c r="CM9" s="29">
        <v>1137.741309148498</v>
      </c>
      <c r="CN9" s="29">
        <v>1136.3164581265039</v>
      </c>
      <c r="CO9" s="29">
        <v>1134.893391517556</v>
      </c>
      <c r="CP9" s="29">
        <v>1133.4721070869441</v>
      </c>
      <c r="CQ9" s="29">
        <v>1132.0526026027551</v>
      </c>
      <c r="CR9" s="29">
        <v>1130.6348758358711</v>
      </c>
      <c r="CS9" s="29">
        <v>1129.2189245599691</v>
      </c>
      <c r="CT9" s="29">
        <v>1127.804746551509</v>
      </c>
      <c r="CU9" s="29">
        <v>1126.3923395897409</v>
      </c>
      <c r="CV9" s="29">
        <v>1124.981701456692</v>
      </c>
      <c r="CW9" s="29">
        <v>1123.572829937169</v>
      </c>
      <c r="CX9" s="29">
        <v>1122.1657228187521</v>
      </c>
      <c r="CY9" s="29">
        <v>1120.7603778917919</v>
      </c>
      <c r="CZ9" s="29">
        <v>1119.3567929494079</v>
      </c>
      <c r="DA9" s="29">
        <v>1117.9549657874829</v>
      </c>
      <c r="DB9" s="29">
        <v>1116.554894204658</v>
      </c>
    </row>
    <row r="11" spans="1:106" x14ac:dyDescent="0.45">
      <c r="A11" s="61" t="s">
        <v>237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</row>
    <row r="12" spans="1:106" x14ac:dyDescent="0.45">
      <c r="A12" s="24" t="s">
        <v>238</v>
      </c>
      <c r="B12" s="25" t="s">
        <v>18</v>
      </c>
      <c r="C12" s="30">
        <v>42750</v>
      </c>
      <c r="D12" s="30">
        <v>42750</v>
      </c>
      <c r="E12" s="30">
        <v>42750</v>
      </c>
      <c r="F12" s="30">
        <v>42750</v>
      </c>
      <c r="G12" s="30">
        <v>42750</v>
      </c>
      <c r="H12" s="30">
        <v>42750</v>
      </c>
      <c r="I12" s="30">
        <v>42750</v>
      </c>
      <c r="J12" s="30">
        <v>42750</v>
      </c>
      <c r="K12" s="30">
        <v>42750</v>
      </c>
      <c r="L12" s="30">
        <v>42750</v>
      </c>
      <c r="M12" s="30">
        <v>42750</v>
      </c>
      <c r="N12" s="30">
        <v>42750</v>
      </c>
      <c r="O12" s="30">
        <v>42750</v>
      </c>
      <c r="P12" s="30">
        <v>42750</v>
      </c>
      <c r="Q12" s="30">
        <v>42750</v>
      </c>
      <c r="R12" s="30">
        <v>42750</v>
      </c>
      <c r="S12" s="30">
        <v>42750</v>
      </c>
      <c r="T12" s="30">
        <v>42750</v>
      </c>
      <c r="U12" s="30">
        <v>42750</v>
      </c>
      <c r="V12" s="30">
        <v>42750</v>
      </c>
      <c r="W12" s="30">
        <v>42750</v>
      </c>
      <c r="X12" s="30">
        <v>42750</v>
      </c>
      <c r="Y12" s="30">
        <v>42750</v>
      </c>
      <c r="Z12" s="30">
        <v>42750</v>
      </c>
      <c r="AA12" s="30">
        <v>42750</v>
      </c>
      <c r="AB12" s="30">
        <v>42750</v>
      </c>
      <c r="AC12" s="30">
        <v>42750</v>
      </c>
      <c r="AD12" s="30">
        <v>42750</v>
      </c>
      <c r="AE12" s="30">
        <v>42750</v>
      </c>
      <c r="AF12" s="30">
        <v>42750</v>
      </c>
      <c r="AG12" s="30">
        <v>42750</v>
      </c>
      <c r="AH12" s="30">
        <v>42750</v>
      </c>
      <c r="AI12" s="30">
        <v>42750</v>
      </c>
      <c r="AJ12" s="30">
        <v>42750</v>
      </c>
      <c r="AK12" s="30">
        <v>42750</v>
      </c>
      <c r="AL12" s="30">
        <v>42750</v>
      </c>
      <c r="AM12" s="30">
        <v>42750</v>
      </c>
      <c r="AN12" s="30">
        <v>42750</v>
      </c>
      <c r="AO12" s="30">
        <v>42750</v>
      </c>
      <c r="AP12" s="30">
        <v>42750</v>
      </c>
      <c r="AQ12" s="30">
        <v>42750</v>
      </c>
      <c r="AR12" s="30">
        <v>42750</v>
      </c>
      <c r="AS12" s="30">
        <v>42750</v>
      </c>
      <c r="AT12" s="30">
        <v>42750</v>
      </c>
      <c r="AU12" s="30">
        <v>42750</v>
      </c>
      <c r="AV12" s="30">
        <v>42750</v>
      </c>
      <c r="AW12" s="30">
        <v>42750</v>
      </c>
      <c r="AX12" s="30">
        <v>42750</v>
      </c>
      <c r="AY12" s="30">
        <v>42750</v>
      </c>
      <c r="AZ12" s="30">
        <v>42750</v>
      </c>
      <c r="BA12" s="30">
        <v>42750</v>
      </c>
      <c r="BB12" s="30">
        <v>42750</v>
      </c>
      <c r="BC12" s="30">
        <v>42750</v>
      </c>
      <c r="BD12" s="30">
        <v>42750</v>
      </c>
      <c r="BE12" s="30">
        <v>42750</v>
      </c>
      <c r="BF12" s="30">
        <v>42750</v>
      </c>
      <c r="BG12" s="30">
        <v>42750</v>
      </c>
      <c r="BH12" s="30">
        <v>42750</v>
      </c>
      <c r="BI12" s="30">
        <v>42750</v>
      </c>
      <c r="BJ12" s="30">
        <v>42750</v>
      </c>
      <c r="BK12" s="30">
        <v>42750</v>
      </c>
      <c r="BL12" s="30">
        <v>42750</v>
      </c>
      <c r="BM12" s="30">
        <v>42750</v>
      </c>
      <c r="BN12" s="30">
        <v>42750</v>
      </c>
      <c r="BO12" s="30">
        <v>42750</v>
      </c>
      <c r="BP12" s="30">
        <v>42750</v>
      </c>
      <c r="BQ12" s="30">
        <v>42750</v>
      </c>
      <c r="BR12" s="30">
        <v>42750</v>
      </c>
      <c r="BS12" s="30">
        <v>42750</v>
      </c>
      <c r="BT12" s="30">
        <v>42750</v>
      </c>
      <c r="BU12" s="30">
        <v>42750</v>
      </c>
      <c r="BV12" s="30">
        <v>42750</v>
      </c>
      <c r="BW12" s="30">
        <v>42750</v>
      </c>
      <c r="BX12" s="30">
        <v>42750</v>
      </c>
      <c r="BY12" s="30">
        <v>42750</v>
      </c>
      <c r="BZ12" s="30">
        <v>42750</v>
      </c>
      <c r="CA12" s="30">
        <v>42750</v>
      </c>
      <c r="CB12" s="30">
        <v>42750</v>
      </c>
      <c r="CC12" s="30">
        <v>42750</v>
      </c>
      <c r="CD12" s="30">
        <v>42750</v>
      </c>
      <c r="CE12" s="30">
        <v>42750</v>
      </c>
      <c r="CF12" s="30">
        <v>42750</v>
      </c>
      <c r="CG12" s="30">
        <v>42750</v>
      </c>
      <c r="CH12" s="30">
        <v>42750</v>
      </c>
      <c r="CI12" s="30">
        <v>42750</v>
      </c>
      <c r="CJ12" s="30">
        <v>42750</v>
      </c>
      <c r="CK12" s="30">
        <v>42750</v>
      </c>
      <c r="CL12" s="30">
        <v>42750</v>
      </c>
      <c r="CM12" s="30">
        <v>42750</v>
      </c>
      <c r="CN12" s="30">
        <v>42750</v>
      </c>
      <c r="CO12" s="30">
        <v>42750</v>
      </c>
      <c r="CP12" s="30">
        <v>42750</v>
      </c>
      <c r="CQ12" s="30">
        <v>42750</v>
      </c>
      <c r="CR12" s="30">
        <v>42750</v>
      </c>
      <c r="CS12" s="30">
        <v>42750</v>
      </c>
      <c r="CT12" s="30">
        <v>42750</v>
      </c>
      <c r="CU12" s="30">
        <v>42750</v>
      </c>
      <c r="CV12" s="30">
        <v>42750</v>
      </c>
      <c r="CW12" s="30">
        <v>42750</v>
      </c>
      <c r="CX12" s="30">
        <v>42750</v>
      </c>
      <c r="CY12" s="30">
        <v>42750</v>
      </c>
      <c r="CZ12" s="30">
        <v>42750</v>
      </c>
      <c r="DA12" s="30">
        <v>42750</v>
      </c>
      <c r="DB12" s="30">
        <v>42750</v>
      </c>
    </row>
    <row r="13" spans="1:106" x14ac:dyDescent="0.45">
      <c r="A13" s="27" t="s">
        <v>239</v>
      </c>
      <c r="B13" s="28" t="s">
        <v>18</v>
      </c>
      <c r="C13" s="29">
        <v>0</v>
      </c>
      <c r="D13" s="29">
        <v>0</v>
      </c>
      <c r="E13" s="29">
        <v>0</v>
      </c>
      <c r="F13" s="29">
        <v>0</v>
      </c>
      <c r="G13" s="29">
        <v>534.375</v>
      </c>
      <c r="H13" s="29">
        <v>534.375</v>
      </c>
      <c r="I13" s="29">
        <v>534.375</v>
      </c>
      <c r="J13" s="29">
        <v>534.375</v>
      </c>
      <c r="K13" s="29">
        <v>534.375</v>
      </c>
      <c r="L13" s="29">
        <v>534.375</v>
      </c>
      <c r="M13" s="29">
        <v>534.375</v>
      </c>
      <c r="N13" s="29">
        <v>534.375</v>
      </c>
      <c r="O13" s="29">
        <v>534.375</v>
      </c>
      <c r="P13" s="29">
        <v>534.375</v>
      </c>
      <c r="Q13" s="29">
        <v>534.375</v>
      </c>
      <c r="R13" s="29">
        <v>534.375</v>
      </c>
      <c r="S13" s="29">
        <v>534.375</v>
      </c>
      <c r="T13" s="29">
        <v>534.375</v>
      </c>
      <c r="U13" s="29">
        <v>534.375</v>
      </c>
      <c r="V13" s="29">
        <v>534.375</v>
      </c>
      <c r="W13" s="29">
        <v>534.375</v>
      </c>
      <c r="X13" s="29">
        <v>534.375</v>
      </c>
      <c r="Y13" s="29">
        <v>534.375</v>
      </c>
      <c r="Z13" s="29">
        <v>534.375</v>
      </c>
      <c r="AA13" s="29">
        <v>534.375</v>
      </c>
      <c r="AB13" s="29">
        <v>534.375</v>
      </c>
      <c r="AC13" s="29">
        <v>534.375</v>
      </c>
      <c r="AD13" s="29">
        <v>534.375</v>
      </c>
      <c r="AE13" s="29">
        <v>534.375</v>
      </c>
      <c r="AF13" s="29">
        <v>534.375</v>
      </c>
      <c r="AG13" s="29">
        <v>534.375</v>
      </c>
      <c r="AH13" s="29">
        <v>534.375</v>
      </c>
      <c r="AI13" s="29">
        <v>534.375</v>
      </c>
      <c r="AJ13" s="29">
        <v>534.375</v>
      </c>
      <c r="AK13" s="29">
        <v>534.375</v>
      </c>
      <c r="AL13" s="29">
        <v>534.375</v>
      </c>
      <c r="AM13" s="29">
        <v>534.375</v>
      </c>
      <c r="AN13" s="29">
        <v>534.375</v>
      </c>
      <c r="AO13" s="29">
        <v>534.375</v>
      </c>
      <c r="AP13" s="29">
        <v>534.375</v>
      </c>
      <c r="AQ13" s="29">
        <v>534.375</v>
      </c>
      <c r="AR13" s="29">
        <v>534.375</v>
      </c>
      <c r="AS13" s="29">
        <v>534.375</v>
      </c>
      <c r="AT13" s="29">
        <v>534.375</v>
      </c>
      <c r="AU13" s="29">
        <v>534.375</v>
      </c>
      <c r="AV13" s="29">
        <v>534.375</v>
      </c>
      <c r="AW13" s="29">
        <v>534.375</v>
      </c>
      <c r="AX13" s="29">
        <v>534.375</v>
      </c>
      <c r="AY13" s="29">
        <v>534.375</v>
      </c>
      <c r="AZ13" s="29">
        <v>534.375</v>
      </c>
      <c r="BA13" s="29">
        <v>534.375</v>
      </c>
      <c r="BB13" s="29">
        <v>534.375</v>
      </c>
      <c r="BC13" s="29">
        <v>534.375</v>
      </c>
      <c r="BD13" s="29">
        <v>534.375</v>
      </c>
      <c r="BE13" s="29">
        <v>534.375</v>
      </c>
      <c r="BF13" s="29">
        <v>534.375</v>
      </c>
      <c r="BG13" s="29">
        <v>534.375</v>
      </c>
      <c r="BH13" s="29">
        <v>534.375</v>
      </c>
      <c r="BI13" s="29">
        <v>534.375</v>
      </c>
      <c r="BJ13" s="29">
        <v>534.375</v>
      </c>
      <c r="BK13" s="29">
        <v>534.375</v>
      </c>
      <c r="BL13" s="29">
        <v>534.375</v>
      </c>
      <c r="BM13" s="29">
        <v>534.375</v>
      </c>
      <c r="BN13" s="29">
        <v>534.375</v>
      </c>
      <c r="BO13" s="29">
        <v>534.375</v>
      </c>
      <c r="BP13" s="29">
        <v>534.375</v>
      </c>
      <c r="BQ13" s="29">
        <v>534.375</v>
      </c>
      <c r="BR13" s="29">
        <v>534.375</v>
      </c>
      <c r="BS13" s="29">
        <v>534.375</v>
      </c>
      <c r="BT13" s="29">
        <v>534.375</v>
      </c>
      <c r="BU13" s="29">
        <v>534.375</v>
      </c>
      <c r="BV13" s="29">
        <v>534.375</v>
      </c>
      <c r="BW13" s="29">
        <v>534.375</v>
      </c>
      <c r="BX13" s="29">
        <v>534.375</v>
      </c>
      <c r="BY13" s="29">
        <v>534.375</v>
      </c>
      <c r="BZ13" s="29">
        <v>534.375</v>
      </c>
      <c r="CA13" s="29">
        <v>534.375</v>
      </c>
      <c r="CB13" s="29">
        <v>534.375</v>
      </c>
      <c r="CC13" s="29">
        <v>534.375</v>
      </c>
      <c r="CD13" s="29">
        <v>534.375</v>
      </c>
      <c r="CE13" s="29">
        <v>534.375</v>
      </c>
      <c r="CF13" s="29">
        <v>534.375</v>
      </c>
      <c r="CG13" s="29">
        <v>534.375</v>
      </c>
      <c r="CH13" s="29">
        <v>534.375</v>
      </c>
      <c r="CI13" s="29">
        <v>534.375</v>
      </c>
      <c r="CJ13" s="29">
        <v>534.375</v>
      </c>
      <c r="CK13" s="29">
        <v>534.375</v>
      </c>
      <c r="CL13" s="29">
        <v>534.375</v>
      </c>
      <c r="CM13" s="29">
        <v>534.375</v>
      </c>
      <c r="CN13" s="29">
        <v>534.375</v>
      </c>
      <c r="CO13" s="29">
        <v>534.375</v>
      </c>
      <c r="CP13" s="29">
        <v>534.375</v>
      </c>
      <c r="CQ13" s="29">
        <v>534.375</v>
      </c>
      <c r="CR13" s="29">
        <v>534.375</v>
      </c>
      <c r="CS13" s="29">
        <v>534.375</v>
      </c>
      <c r="CT13" s="29">
        <v>534.375</v>
      </c>
      <c r="CU13" s="29">
        <v>534.375</v>
      </c>
      <c r="CV13" s="29">
        <v>534.375</v>
      </c>
      <c r="CW13" s="29">
        <v>534.375</v>
      </c>
      <c r="CX13" s="29">
        <v>534.375</v>
      </c>
      <c r="CY13" s="29">
        <v>534.375</v>
      </c>
      <c r="CZ13" s="29">
        <v>534.375</v>
      </c>
      <c r="DA13" s="29">
        <v>534.375</v>
      </c>
      <c r="DB13" s="29">
        <v>534.375</v>
      </c>
    </row>
  </sheetData>
  <mergeCells count="4">
    <mergeCell ref="A11:DB11"/>
    <mergeCell ref="A1:DB1"/>
    <mergeCell ref="A7:DB7"/>
    <mergeCell ref="A3:D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B20"/>
  <sheetViews>
    <sheetView showGridLines="0" workbookViewId="0">
      <pane xSplit="2" ySplit="2" topLeftCell="AD3" activePane="bottomRight" state="frozen"/>
      <selection pane="topRight"/>
      <selection pane="bottomLeft"/>
      <selection pane="bottomRight" activeCell="AO12" sqref="AO12"/>
    </sheetView>
  </sheetViews>
  <sheetFormatPr defaultRowHeight="14.25" x14ac:dyDescent="0.45"/>
  <cols>
    <col min="1" max="1" width="32" customWidth="1"/>
    <col min="2" max="2" width="12" customWidth="1"/>
    <col min="3" max="106" width="11" customWidth="1"/>
  </cols>
  <sheetData>
    <row r="1" spans="1:106" ht="28.05" customHeight="1" x14ac:dyDescent="0.45">
      <c r="A1" s="60" t="s">
        <v>240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</row>
    <row r="2" spans="1:106" x14ac:dyDescent="0.45">
      <c r="A2" s="21" t="s">
        <v>68</v>
      </c>
      <c r="B2" s="21" t="s">
        <v>69</v>
      </c>
      <c r="C2" s="22" t="s">
        <v>70</v>
      </c>
      <c r="D2" s="22" t="s">
        <v>71</v>
      </c>
      <c r="E2" s="22" t="s">
        <v>72</v>
      </c>
      <c r="F2" s="22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23" t="s">
        <v>78</v>
      </c>
      <c r="L2" s="23" t="s">
        <v>79</v>
      </c>
      <c r="M2" s="23" t="s">
        <v>80</v>
      </c>
      <c r="N2" s="23" t="s">
        <v>81</v>
      </c>
      <c r="O2" s="23" t="s">
        <v>82</v>
      </c>
      <c r="P2" s="23" t="s">
        <v>83</v>
      </c>
      <c r="Q2" s="23" t="s">
        <v>84</v>
      </c>
      <c r="R2" s="23" t="s">
        <v>85</v>
      </c>
      <c r="S2" s="23" t="s">
        <v>86</v>
      </c>
      <c r="T2" s="23" t="s">
        <v>87</v>
      </c>
      <c r="U2" s="23" t="s">
        <v>88</v>
      </c>
      <c r="V2" s="23" t="s">
        <v>89</v>
      </c>
      <c r="W2" s="23" t="s">
        <v>90</v>
      </c>
      <c r="X2" s="23" t="s">
        <v>91</v>
      </c>
      <c r="Y2" s="23" t="s">
        <v>92</v>
      </c>
      <c r="Z2" s="23" t="s">
        <v>93</v>
      </c>
      <c r="AA2" s="23" t="s">
        <v>94</v>
      </c>
      <c r="AB2" s="23" t="s">
        <v>95</v>
      </c>
      <c r="AC2" s="23" t="s">
        <v>96</v>
      </c>
      <c r="AD2" s="23" t="s">
        <v>97</v>
      </c>
      <c r="AE2" s="23" t="s">
        <v>98</v>
      </c>
      <c r="AF2" s="23" t="s">
        <v>99</v>
      </c>
      <c r="AG2" s="23" t="s">
        <v>100</v>
      </c>
      <c r="AH2" s="23" t="s">
        <v>101</v>
      </c>
      <c r="AI2" s="23" t="s">
        <v>102</v>
      </c>
      <c r="AJ2" s="23" t="s">
        <v>103</v>
      </c>
      <c r="AK2" s="23" t="s">
        <v>104</v>
      </c>
      <c r="AL2" s="23" t="s">
        <v>105</v>
      </c>
      <c r="AM2" s="23" t="s">
        <v>106</v>
      </c>
      <c r="AN2" s="23" t="s">
        <v>107</v>
      </c>
      <c r="AO2" s="23" t="s">
        <v>108</v>
      </c>
      <c r="AP2" s="23" t="s">
        <v>109</v>
      </c>
      <c r="AQ2" s="23" t="s">
        <v>110</v>
      </c>
      <c r="AR2" s="23" t="s">
        <v>111</v>
      </c>
      <c r="AS2" s="23" t="s">
        <v>112</v>
      </c>
      <c r="AT2" s="23" t="s">
        <v>113</v>
      </c>
      <c r="AU2" s="23" t="s">
        <v>114</v>
      </c>
      <c r="AV2" s="23" t="s">
        <v>115</v>
      </c>
      <c r="AW2" s="23" t="s">
        <v>116</v>
      </c>
      <c r="AX2" s="23" t="s">
        <v>117</v>
      </c>
      <c r="AY2" s="23" t="s">
        <v>118</v>
      </c>
      <c r="AZ2" s="23" t="s">
        <v>119</v>
      </c>
      <c r="BA2" s="23" t="s">
        <v>120</v>
      </c>
      <c r="BB2" s="23" t="s">
        <v>121</v>
      </c>
      <c r="BC2" s="23" t="s">
        <v>122</v>
      </c>
      <c r="BD2" s="23" t="s">
        <v>123</v>
      </c>
      <c r="BE2" s="23" t="s">
        <v>124</v>
      </c>
      <c r="BF2" s="23" t="s">
        <v>125</v>
      </c>
      <c r="BG2" s="23" t="s">
        <v>126</v>
      </c>
      <c r="BH2" s="23" t="s">
        <v>127</v>
      </c>
      <c r="BI2" s="23" t="s">
        <v>128</v>
      </c>
      <c r="BJ2" s="23" t="s">
        <v>129</v>
      </c>
      <c r="BK2" s="23" t="s">
        <v>130</v>
      </c>
      <c r="BL2" s="23" t="s">
        <v>131</v>
      </c>
      <c r="BM2" s="23" t="s">
        <v>132</v>
      </c>
      <c r="BN2" s="23" t="s">
        <v>133</v>
      </c>
      <c r="BO2" s="23" t="s">
        <v>134</v>
      </c>
      <c r="BP2" s="23" t="s">
        <v>135</v>
      </c>
      <c r="BQ2" s="23" t="s">
        <v>136</v>
      </c>
      <c r="BR2" s="23" t="s">
        <v>137</v>
      </c>
      <c r="BS2" s="23" t="s">
        <v>138</v>
      </c>
      <c r="BT2" s="23" t="s">
        <v>139</v>
      </c>
      <c r="BU2" s="23" t="s">
        <v>140</v>
      </c>
      <c r="BV2" s="23" t="s">
        <v>141</v>
      </c>
      <c r="BW2" s="23" t="s">
        <v>142</v>
      </c>
      <c r="BX2" s="23" t="s">
        <v>143</v>
      </c>
      <c r="BY2" s="23" t="s">
        <v>144</v>
      </c>
      <c r="BZ2" s="23" t="s">
        <v>145</v>
      </c>
      <c r="CA2" s="23" t="s">
        <v>146</v>
      </c>
      <c r="CB2" s="23" t="s">
        <v>147</v>
      </c>
      <c r="CC2" s="23" t="s">
        <v>148</v>
      </c>
      <c r="CD2" s="23" t="s">
        <v>149</v>
      </c>
      <c r="CE2" s="23" t="s">
        <v>150</v>
      </c>
      <c r="CF2" s="23" t="s">
        <v>151</v>
      </c>
      <c r="CG2" s="23" t="s">
        <v>152</v>
      </c>
      <c r="CH2" s="23" t="s">
        <v>153</v>
      </c>
      <c r="CI2" s="23" t="s">
        <v>154</v>
      </c>
      <c r="CJ2" s="23" t="s">
        <v>155</v>
      </c>
      <c r="CK2" s="23" t="s">
        <v>156</v>
      </c>
      <c r="CL2" s="23" t="s">
        <v>157</v>
      </c>
      <c r="CM2" s="23" t="s">
        <v>158</v>
      </c>
      <c r="CN2" s="23" t="s">
        <v>159</v>
      </c>
      <c r="CO2" s="23" t="s">
        <v>160</v>
      </c>
      <c r="CP2" s="23" t="s">
        <v>161</v>
      </c>
      <c r="CQ2" s="23" t="s">
        <v>162</v>
      </c>
      <c r="CR2" s="23" t="s">
        <v>163</v>
      </c>
      <c r="CS2" s="23" t="s">
        <v>164</v>
      </c>
      <c r="CT2" s="23" t="s">
        <v>165</v>
      </c>
      <c r="CU2" s="23" t="s">
        <v>166</v>
      </c>
      <c r="CV2" s="23" t="s">
        <v>167</v>
      </c>
      <c r="CW2" s="23" t="s">
        <v>168</v>
      </c>
      <c r="CX2" s="23" t="s">
        <v>169</v>
      </c>
      <c r="CY2" s="23" t="s">
        <v>170</v>
      </c>
      <c r="CZ2" s="23" t="s">
        <v>171</v>
      </c>
      <c r="DA2" s="23" t="s">
        <v>172</v>
      </c>
      <c r="DB2" s="23" t="s">
        <v>173</v>
      </c>
    </row>
    <row r="3" spans="1:106" x14ac:dyDescent="0.45">
      <c r="A3" s="61" t="s">
        <v>241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</row>
    <row r="4" spans="1:106" x14ac:dyDescent="0.45">
      <c r="A4" s="27" t="s">
        <v>242</v>
      </c>
      <c r="B4" s="28" t="s">
        <v>18</v>
      </c>
      <c r="C4" s="33">
        <v>0</v>
      </c>
      <c r="D4" s="33">
        <v>0</v>
      </c>
      <c r="E4" s="33">
        <v>0</v>
      </c>
      <c r="F4" s="33">
        <v>0</v>
      </c>
      <c r="G4" s="33">
        <v>1264.03421925</v>
      </c>
      <c r="H4" s="33">
        <v>1262.451205225062</v>
      </c>
      <c r="I4" s="33">
        <v>1260.870173688704</v>
      </c>
      <c r="J4" s="33">
        <v>1259.291122158153</v>
      </c>
      <c r="K4" s="33">
        <v>1257.7140481537499</v>
      </c>
      <c r="L4" s="33">
        <v>1256.1389491989371</v>
      </c>
      <c r="M4" s="33">
        <v>1254.5658228202601</v>
      </c>
      <c r="N4" s="33">
        <v>1252.9946665473631</v>
      </c>
      <c r="O4" s="33">
        <v>1251.425477912981</v>
      </c>
      <c r="P4" s="33">
        <v>1249.858254452942</v>
      </c>
      <c r="Q4" s="33">
        <v>1248.292993706159</v>
      </c>
      <c r="R4" s="33">
        <v>1246.729693214626</v>
      </c>
      <c r="S4" s="33">
        <v>1245.1683505234159</v>
      </c>
      <c r="T4" s="33">
        <v>1243.6089631806781</v>
      </c>
      <c r="U4" s="33">
        <v>1242.0515287376279</v>
      </c>
      <c r="V4" s="33">
        <v>1240.496044748553</v>
      </c>
      <c r="W4" s="33">
        <v>1238.9425087707989</v>
      </c>
      <c r="X4" s="33">
        <v>1237.390918364775</v>
      </c>
      <c r="Y4" s="33">
        <v>1235.8412710939399</v>
      </c>
      <c r="Z4" s="33">
        <v>1234.2935645248101</v>
      </c>
      <c r="AA4" s="33">
        <v>1232.747796226945</v>
      </c>
      <c r="AB4" s="33">
        <v>1231.2039637729499</v>
      </c>
      <c r="AC4" s="33">
        <v>1229.66206473847</v>
      </c>
      <c r="AD4" s="33">
        <v>1228.1220967021859</v>
      </c>
      <c r="AE4" s="33">
        <v>1226.584057245811</v>
      </c>
      <c r="AF4" s="33">
        <v>1225.0479439540859</v>
      </c>
      <c r="AG4" s="33">
        <v>1223.5137544147781</v>
      </c>
      <c r="AH4" s="33">
        <v>1221.9814862186749</v>
      </c>
      <c r="AI4" s="33">
        <v>1220.4511369595809</v>
      </c>
      <c r="AJ4" s="33">
        <v>1218.922704234315</v>
      </c>
      <c r="AK4" s="33">
        <v>1217.396185642704</v>
      </c>
      <c r="AL4" s="33">
        <v>1215.8715787875819</v>
      </c>
      <c r="AM4" s="33">
        <v>1214.348881274783</v>
      </c>
      <c r="AN4" s="33">
        <v>1212.8280907131441</v>
      </c>
      <c r="AO4" s="33">
        <v>1211.309204714491</v>
      </c>
      <c r="AP4" s="33">
        <v>1209.7922208936441</v>
      </c>
      <c r="AQ4" s="33">
        <v>1208.27713686841</v>
      </c>
      <c r="AR4" s="33">
        <v>1206.763950259578</v>
      </c>
      <c r="AS4" s="33">
        <v>1205.252658690918</v>
      </c>
      <c r="AT4" s="33">
        <v>1203.743259789175</v>
      </c>
      <c r="AU4" s="33">
        <v>1202.2357511840671</v>
      </c>
      <c r="AV4" s="33">
        <v>1200.7301305082799</v>
      </c>
      <c r="AW4" s="33">
        <v>1199.2263953974641</v>
      </c>
      <c r="AX4" s="33">
        <v>1197.72454349023</v>
      </c>
      <c r="AY4" s="33">
        <v>1196.224572428147</v>
      </c>
      <c r="AZ4" s="33">
        <v>1194.726479855738</v>
      </c>
      <c r="BA4" s="33">
        <v>1193.2302634204759</v>
      </c>
      <c r="BB4" s="33">
        <v>1191.7359207727791</v>
      </c>
      <c r="BC4" s="33">
        <v>1190.243449566007</v>
      </c>
      <c r="BD4" s="33">
        <v>1188.7528474564599</v>
      </c>
      <c r="BE4" s="33">
        <v>1187.2641121033739</v>
      </c>
      <c r="BF4" s="33">
        <v>1185.777241168915</v>
      </c>
      <c r="BG4" s="33">
        <v>1184.292232318177</v>
      </c>
      <c r="BH4" s="33">
        <v>1182.8090832191781</v>
      </c>
      <c r="BI4" s="33">
        <v>1181.3277915428571</v>
      </c>
      <c r="BJ4" s="33">
        <v>1179.8483549630701</v>
      </c>
      <c r="BK4" s="33">
        <v>1178.370771156586</v>
      </c>
      <c r="BL4" s="33">
        <v>1176.895037803082</v>
      </c>
      <c r="BM4" s="33">
        <v>1175.4211525851431</v>
      </c>
      <c r="BN4" s="33">
        <v>1173.9491131882539</v>
      </c>
      <c r="BO4" s="33">
        <v>1172.478917300803</v>
      </c>
      <c r="BP4" s="33">
        <v>1171.010562614066</v>
      </c>
      <c r="BQ4" s="33">
        <v>1169.5440468222171</v>
      </c>
      <c r="BR4" s="33">
        <v>1168.0793676223129</v>
      </c>
      <c r="BS4" s="33">
        <v>1166.616522714299</v>
      </c>
      <c r="BT4" s="33">
        <v>1165.155509800996</v>
      </c>
      <c r="BU4" s="33">
        <v>1163.6963265881061</v>
      </c>
      <c r="BV4" s="33">
        <v>1162.2389707842019</v>
      </c>
      <c r="BW4" s="33">
        <v>1160.7834401007269</v>
      </c>
      <c r="BX4" s="33">
        <v>1159.3297322519909</v>
      </c>
      <c r="BY4" s="33">
        <v>1157.8778449551651</v>
      </c>
      <c r="BZ4" s="33">
        <v>1156.4277759302811</v>
      </c>
      <c r="CA4" s="33">
        <v>1154.9795229002229</v>
      </c>
      <c r="CB4" s="33">
        <v>1153.5330835907309</v>
      </c>
      <c r="CC4" s="33">
        <v>1152.0884557303889</v>
      </c>
      <c r="CD4" s="33">
        <v>1150.6456370506289</v>
      </c>
      <c r="CE4" s="33">
        <v>1149.2046252857219</v>
      </c>
      <c r="CF4" s="33">
        <v>1147.7654181727769</v>
      </c>
      <c r="CG4" s="33">
        <v>1146.328013451737</v>
      </c>
      <c r="CH4" s="33">
        <v>1144.892408865376</v>
      </c>
      <c r="CI4" s="33">
        <v>1143.4586021592941</v>
      </c>
      <c r="CJ4" s="33">
        <v>1142.026591081913</v>
      </c>
      <c r="CK4" s="33">
        <v>1140.596373384479</v>
      </c>
      <c r="CL4" s="33">
        <v>1139.1679468210491</v>
      </c>
      <c r="CM4" s="33">
        <v>1137.741309148498</v>
      </c>
      <c r="CN4" s="33">
        <v>1136.3164581265039</v>
      </c>
      <c r="CO4" s="33">
        <v>1134.893391517556</v>
      </c>
      <c r="CP4" s="33">
        <v>1133.4721070869441</v>
      </c>
      <c r="CQ4" s="33">
        <v>1132.0526026027551</v>
      </c>
      <c r="CR4" s="33">
        <v>1130.6348758358711</v>
      </c>
      <c r="CS4" s="33">
        <v>1129.2189245599691</v>
      </c>
      <c r="CT4" s="33">
        <v>1127.804746551509</v>
      </c>
      <c r="CU4" s="33">
        <v>1126.3923395897409</v>
      </c>
      <c r="CV4" s="33">
        <v>1124.981701456692</v>
      </c>
      <c r="CW4" s="33">
        <v>1123.572829937169</v>
      </c>
      <c r="CX4" s="33">
        <v>1122.1657228187521</v>
      </c>
      <c r="CY4" s="33">
        <v>1120.7603778917919</v>
      </c>
      <c r="CZ4" s="33">
        <v>1119.3567929494079</v>
      </c>
      <c r="DA4" s="33">
        <v>1117.9549657874829</v>
      </c>
      <c r="DB4" s="33">
        <v>1116.554894204658</v>
      </c>
    </row>
    <row r="6" spans="1:106" x14ac:dyDescent="0.45">
      <c r="A6" s="24" t="s">
        <v>243</v>
      </c>
      <c r="B6" s="25" t="s">
        <v>18</v>
      </c>
      <c r="C6" s="30">
        <v>0</v>
      </c>
      <c r="D6" s="30">
        <v>0</v>
      </c>
      <c r="E6" s="30">
        <v>0</v>
      </c>
      <c r="F6" s="30">
        <v>0</v>
      </c>
      <c r="G6" s="30">
        <v>262.25</v>
      </c>
      <c r="H6" s="30">
        <v>263.77791678621298</v>
      </c>
      <c r="I6" s="30">
        <v>265.31716624089972</v>
      </c>
      <c r="J6" s="30">
        <v>266.86783241927571</v>
      </c>
      <c r="K6" s="30">
        <v>268.42999999999989</v>
      </c>
      <c r="L6" s="30">
        <v>270.00375428979942</v>
      </c>
      <c r="M6" s="30">
        <v>271.58918122812668</v>
      </c>
      <c r="N6" s="30">
        <v>273.18636739185399</v>
      </c>
      <c r="O6" s="30">
        <v>274.79539999999997</v>
      </c>
      <c r="P6" s="30">
        <v>276.4163669184934</v>
      </c>
      <c r="Q6" s="30">
        <v>278.04935666497062</v>
      </c>
      <c r="R6" s="30">
        <v>279.6944584136096</v>
      </c>
      <c r="S6" s="30">
        <v>281.35176200000001</v>
      </c>
      <c r="T6" s="30">
        <v>283.02135792604821</v>
      </c>
      <c r="U6" s="30">
        <v>284.70333736491972</v>
      </c>
      <c r="V6" s="30">
        <v>286.39779216601789</v>
      </c>
      <c r="W6" s="30">
        <v>288.10481485999998</v>
      </c>
      <c r="X6" s="30">
        <v>289.82449866382967</v>
      </c>
      <c r="Y6" s="30">
        <v>291.55693748586731</v>
      </c>
      <c r="Z6" s="30">
        <v>293.30222593099847</v>
      </c>
      <c r="AA6" s="30">
        <v>295.06045930580001</v>
      </c>
      <c r="AB6" s="30">
        <v>296.83173362374453</v>
      </c>
      <c r="AC6" s="30">
        <v>298.61614561044331</v>
      </c>
      <c r="AD6" s="30">
        <v>300.41379270892838</v>
      </c>
      <c r="AE6" s="30">
        <v>302.224773084974</v>
      </c>
      <c r="AF6" s="30">
        <v>304.0491856324569</v>
      </c>
      <c r="AG6" s="30">
        <v>305.88712997875649</v>
      </c>
      <c r="AH6" s="30">
        <v>307.73870649019631</v>
      </c>
      <c r="AI6" s="30">
        <v>309.60401627752327</v>
      </c>
      <c r="AJ6" s="30">
        <v>311.48316120143062</v>
      </c>
      <c r="AK6" s="30">
        <v>313.37624387811928</v>
      </c>
      <c r="AL6" s="30">
        <v>315.28336768490209</v>
      </c>
      <c r="AM6" s="30">
        <v>317.20463676584899</v>
      </c>
      <c r="AN6" s="30">
        <v>319.1401560374735</v>
      </c>
      <c r="AO6" s="30">
        <v>321.09003119446288</v>
      </c>
      <c r="AP6" s="30">
        <v>323.05436871544919</v>
      </c>
      <c r="AQ6" s="30">
        <v>325.03327586882438</v>
      </c>
      <c r="AR6" s="30">
        <v>327.02686071859767</v>
      </c>
      <c r="AS6" s="30">
        <v>329.03523213029678</v>
      </c>
      <c r="AT6" s="30">
        <v>331.05849977691281</v>
      </c>
      <c r="AU6" s="30">
        <v>334.42818436637299</v>
      </c>
      <c r="AV6" s="30">
        <v>338.16556049507318</v>
      </c>
      <c r="AW6" s="30">
        <v>341.91483063410391</v>
      </c>
      <c r="AX6" s="30">
        <v>345.67607891550341</v>
      </c>
      <c r="AY6" s="30">
        <v>349.44939010044169</v>
      </c>
      <c r="AZ6" s="30">
        <v>353.23484958388019</v>
      </c>
      <c r="BA6" s="30">
        <v>357.03254339926542</v>
      </c>
      <c r="BB6" s="30">
        <v>360.8425582232594</v>
      </c>
      <c r="BC6" s="30">
        <v>364.66498138050332</v>
      </c>
      <c r="BD6" s="30">
        <v>368.4999008484175</v>
      </c>
      <c r="BE6" s="30">
        <v>372.34740526203689</v>
      </c>
      <c r="BF6" s="30">
        <v>376.20758391888222</v>
      </c>
      <c r="BG6" s="30">
        <v>380.08052678386667</v>
      </c>
      <c r="BH6" s="30">
        <v>383.96632449424089</v>
      </c>
      <c r="BI6" s="30">
        <v>387.86506836457249</v>
      </c>
      <c r="BJ6" s="30">
        <v>391.77685039176362</v>
      </c>
      <c r="BK6" s="30">
        <v>395.70176326010579</v>
      </c>
      <c r="BL6" s="30">
        <v>399.63990034637158</v>
      </c>
      <c r="BM6" s="30">
        <v>403.59135572494512</v>
      </c>
      <c r="BN6" s="30">
        <v>407.55622417298912</v>
      </c>
      <c r="BO6" s="30">
        <v>411.53460117565231</v>
      </c>
      <c r="BP6" s="30">
        <v>415.52658293131338</v>
      </c>
      <c r="BQ6" s="30">
        <v>419.53226635686508</v>
      </c>
      <c r="BR6" s="30">
        <v>423.55174909303742</v>
      </c>
      <c r="BS6" s="30">
        <v>427.58512950975978</v>
      </c>
      <c r="BT6" s="30">
        <v>431.63250671156368</v>
      </c>
      <c r="BU6" s="30">
        <v>435.69398054302462</v>
      </c>
      <c r="BV6" s="30">
        <v>439.76965159424532</v>
      </c>
      <c r="BW6" s="30">
        <v>443.85962120637868</v>
      </c>
      <c r="BX6" s="30">
        <v>447.96399147719222</v>
      </c>
      <c r="BY6" s="30">
        <v>452.08286526667382</v>
      </c>
      <c r="BZ6" s="30">
        <v>456.2163462026794</v>
      </c>
      <c r="CA6" s="30">
        <v>460.36453868662107</v>
      </c>
      <c r="CB6" s="30">
        <v>461.9538108980023</v>
      </c>
      <c r="CC6" s="30">
        <v>463.55800580378252</v>
      </c>
      <c r="CD6" s="30">
        <v>465.1772301606029</v>
      </c>
      <c r="CE6" s="30">
        <v>466.81159152184279</v>
      </c>
      <c r="CF6" s="30">
        <v>468.46119824352348</v>
      </c>
      <c r="CG6" s="30">
        <v>470.12615949025508</v>
      </c>
      <c r="CH6" s="30">
        <v>471.80658524122799</v>
      </c>
      <c r="CI6" s="30">
        <v>473.50258629624801</v>
      </c>
      <c r="CJ6" s="30">
        <v>475.21427428181738</v>
      </c>
      <c r="CK6" s="30">
        <v>476.94176165725997</v>
      </c>
      <c r="CL6" s="30">
        <v>478.68516172089278</v>
      </c>
      <c r="CM6" s="30">
        <v>480.44458861624167</v>
      </c>
      <c r="CN6" s="30">
        <v>482.22015733830523</v>
      </c>
      <c r="CO6" s="30">
        <v>484.01198373986369</v>
      </c>
      <c r="CP6" s="30">
        <v>485.82018453783542</v>
      </c>
      <c r="CQ6" s="30">
        <v>487.64487731967949</v>
      </c>
      <c r="CR6" s="30">
        <v>489.48618054984752</v>
      </c>
      <c r="CS6" s="30">
        <v>491.34421357628099</v>
      </c>
      <c r="CT6" s="30">
        <v>493.21909663695959</v>
      </c>
      <c r="CU6" s="30">
        <v>495.11095086649578</v>
      </c>
      <c r="CV6" s="30">
        <v>497.01989830277898</v>
      </c>
      <c r="CW6" s="30">
        <v>498.94606189366971</v>
      </c>
      <c r="CX6" s="30">
        <v>500.8895655037428</v>
      </c>
      <c r="CY6" s="30">
        <v>502.85053392108051</v>
      </c>
      <c r="CZ6" s="30">
        <v>504.82909286411632</v>
      </c>
      <c r="DA6" s="30">
        <v>506.82536898852959</v>
      </c>
      <c r="DB6" s="30">
        <v>508.83948989419099</v>
      </c>
    </row>
    <row r="7" spans="1:106" x14ac:dyDescent="0.45">
      <c r="A7" s="24" t="s">
        <v>244</v>
      </c>
      <c r="B7" s="25" t="s">
        <v>18</v>
      </c>
      <c r="C7" s="31">
        <v>0</v>
      </c>
      <c r="D7" s="31">
        <v>0</v>
      </c>
      <c r="E7" s="31">
        <v>0</v>
      </c>
      <c r="F7" s="31">
        <v>0</v>
      </c>
      <c r="G7" s="31">
        <v>1001.78421925</v>
      </c>
      <c r="H7" s="31">
        <v>998.67328843884923</v>
      </c>
      <c r="I7" s="31">
        <v>995.55300744780402</v>
      </c>
      <c r="J7" s="31">
        <v>992.42328973887754</v>
      </c>
      <c r="K7" s="31">
        <v>989.28404815374995</v>
      </c>
      <c r="L7" s="31">
        <v>986.13519490913768</v>
      </c>
      <c r="M7" s="31">
        <v>982.97664159213355</v>
      </c>
      <c r="N7" s="31">
        <v>979.80829915550862</v>
      </c>
      <c r="O7" s="31">
        <v>976.63007791298128</v>
      </c>
      <c r="P7" s="31">
        <v>973.44188753444882</v>
      </c>
      <c r="Q7" s="31">
        <v>970.24363704118821</v>
      </c>
      <c r="R7" s="31">
        <v>967.03523480101637</v>
      </c>
      <c r="S7" s="31">
        <v>963.81658852341616</v>
      </c>
      <c r="T7" s="31">
        <v>960.58760525462969</v>
      </c>
      <c r="U7" s="31">
        <v>957.3481913727087</v>
      </c>
      <c r="V7" s="31">
        <v>954.09825258253488</v>
      </c>
      <c r="W7" s="31">
        <v>950.83769391079932</v>
      </c>
      <c r="X7" s="31">
        <v>947.56641970094483</v>
      </c>
      <c r="Y7" s="31">
        <v>944.28433360807264</v>
      </c>
      <c r="Z7" s="31">
        <v>940.99133859381163</v>
      </c>
      <c r="AA7" s="31">
        <v>937.68733692114517</v>
      </c>
      <c r="AB7" s="31">
        <v>934.37223014920585</v>
      </c>
      <c r="AC7" s="31">
        <v>931.04591912802721</v>
      </c>
      <c r="AD7" s="31">
        <v>927.70830399325746</v>
      </c>
      <c r="AE7" s="31">
        <v>924.35928416083652</v>
      </c>
      <c r="AF7" s="31">
        <v>920.99875832162877</v>
      </c>
      <c r="AG7" s="31">
        <v>917.62662443602153</v>
      </c>
      <c r="AH7" s="31">
        <v>914.24277972847892</v>
      </c>
      <c r="AI7" s="31">
        <v>910.84712068205818</v>
      </c>
      <c r="AJ7" s="31">
        <v>907.43954303288467</v>
      </c>
      <c r="AK7" s="31">
        <v>904.0199417645847</v>
      </c>
      <c r="AL7" s="31">
        <v>900.58821110267957</v>
      </c>
      <c r="AM7" s="31">
        <v>897.14424450893421</v>
      </c>
      <c r="AN7" s="31">
        <v>893.68793467567014</v>
      </c>
      <c r="AO7" s="31">
        <v>890.21917352002765</v>
      </c>
      <c r="AP7" s="31">
        <v>886.73785217819454</v>
      </c>
      <c r="AQ7" s="31">
        <v>883.24386099958519</v>
      </c>
      <c r="AR7" s="31">
        <v>879.73708954098026</v>
      </c>
      <c r="AS7" s="31">
        <v>876.21742656062122</v>
      </c>
      <c r="AT7" s="31">
        <v>872.6847600122627</v>
      </c>
      <c r="AU7" s="31">
        <v>867.80756681769435</v>
      </c>
      <c r="AV7" s="31">
        <v>862.56457001320678</v>
      </c>
      <c r="AW7" s="31">
        <v>857.3115647633598</v>
      </c>
      <c r="AX7" s="31">
        <v>852.04846457472638</v>
      </c>
      <c r="AY7" s="31">
        <v>846.77518232770535</v>
      </c>
      <c r="AZ7" s="31">
        <v>841.4916302718583</v>
      </c>
      <c r="BA7" s="31">
        <v>836.19772002121067</v>
      </c>
      <c r="BB7" s="31">
        <v>830.89336254951922</v>
      </c>
      <c r="BC7" s="31">
        <v>825.5784681855032</v>
      </c>
      <c r="BD7" s="31">
        <v>820.25294660804241</v>
      </c>
      <c r="BE7" s="31">
        <v>814.9167068413368</v>
      </c>
      <c r="BF7" s="31">
        <v>809.56965725003261</v>
      </c>
      <c r="BG7" s="31">
        <v>804.21170553430989</v>
      </c>
      <c r="BH7" s="31">
        <v>798.84275872493674</v>
      </c>
      <c r="BI7" s="31">
        <v>793.46272317828436</v>
      </c>
      <c r="BJ7" s="31">
        <v>788.07150457130615</v>
      </c>
      <c r="BK7" s="31">
        <v>782.66900789647991</v>
      </c>
      <c r="BL7" s="31">
        <v>777.25513745670992</v>
      </c>
      <c r="BM7" s="31">
        <v>771.82979686019758</v>
      </c>
      <c r="BN7" s="31">
        <v>766.39288901526527</v>
      </c>
      <c r="BO7" s="31">
        <v>760.94431612515018</v>
      </c>
      <c r="BP7" s="31">
        <v>755.48397968275276</v>
      </c>
      <c r="BQ7" s="31">
        <v>750.01178046535199</v>
      </c>
      <c r="BR7" s="31">
        <v>744.52761852927597</v>
      </c>
      <c r="BS7" s="31">
        <v>739.03139320453897</v>
      </c>
      <c r="BT7" s="31">
        <v>733.52300308943234</v>
      </c>
      <c r="BU7" s="31">
        <v>728.00234604508114</v>
      </c>
      <c r="BV7" s="31">
        <v>722.46931918995642</v>
      </c>
      <c r="BW7" s="31">
        <v>716.92381889434841</v>
      </c>
      <c r="BX7" s="31">
        <v>711.36574077479895</v>
      </c>
      <c r="BY7" s="31">
        <v>705.79497968849148</v>
      </c>
      <c r="BZ7" s="31">
        <v>700.2114297276014</v>
      </c>
      <c r="CA7" s="31">
        <v>694.61498421360227</v>
      </c>
      <c r="CB7" s="31">
        <v>691.57927269272864</v>
      </c>
      <c r="CC7" s="31">
        <v>688.53044992660682</v>
      </c>
      <c r="CD7" s="31">
        <v>685.46840689002647</v>
      </c>
      <c r="CE7" s="31">
        <v>682.39303376387954</v>
      </c>
      <c r="CF7" s="31">
        <v>679.3042199292538</v>
      </c>
      <c r="CG7" s="31">
        <v>676.20185396148236</v>
      </c>
      <c r="CH7" s="31">
        <v>673.08582362414813</v>
      </c>
      <c r="CI7" s="31">
        <v>669.95601586304588</v>
      </c>
      <c r="CJ7" s="31">
        <v>666.81231680009603</v>
      </c>
      <c r="CK7" s="31">
        <v>663.65461172721848</v>
      </c>
      <c r="CL7" s="31">
        <v>660.48278510015643</v>
      </c>
      <c r="CM7" s="31">
        <v>657.29672053225579</v>
      </c>
      <c r="CN7" s="31">
        <v>654.09630078819873</v>
      </c>
      <c r="CO7" s="31">
        <v>650.88140777769274</v>
      </c>
      <c r="CP7" s="31">
        <v>647.65192254910869</v>
      </c>
      <c r="CQ7" s="31">
        <v>644.40772528307514</v>
      </c>
      <c r="CR7" s="31">
        <v>641.14869528602389</v>
      </c>
      <c r="CS7" s="31">
        <v>637.87471098368758</v>
      </c>
      <c r="CT7" s="31">
        <v>634.58564991454955</v>
      </c>
      <c r="CU7" s="31">
        <v>631.28138872324507</v>
      </c>
      <c r="CV7" s="31">
        <v>627.96180315391302</v>
      </c>
      <c r="CW7" s="31">
        <v>624.62676804349906</v>
      </c>
      <c r="CX7" s="31">
        <v>621.27615731500907</v>
      </c>
      <c r="CY7" s="31">
        <v>617.90984397071168</v>
      </c>
      <c r="CZ7" s="31">
        <v>614.52770008529205</v>
      </c>
      <c r="DA7" s="31">
        <v>611.12959679895334</v>
      </c>
      <c r="DB7" s="31">
        <v>607.71540431046697</v>
      </c>
    </row>
    <row r="9" spans="1:106" x14ac:dyDescent="0.45">
      <c r="A9" s="24" t="s">
        <v>245</v>
      </c>
      <c r="B9" s="25" t="s">
        <v>18</v>
      </c>
      <c r="C9" s="31">
        <v>0</v>
      </c>
      <c r="D9" s="31">
        <v>0</v>
      </c>
      <c r="E9" s="31">
        <v>0</v>
      </c>
      <c r="F9" s="31">
        <v>0</v>
      </c>
      <c r="G9" s="31">
        <v>1001.78421925</v>
      </c>
      <c r="H9" s="31">
        <v>998.67328843884923</v>
      </c>
      <c r="I9" s="31">
        <v>995.55300744780402</v>
      </c>
      <c r="J9" s="31">
        <v>992.42328973887754</v>
      </c>
      <c r="K9" s="31">
        <v>989.28404815374995</v>
      </c>
      <c r="L9" s="31">
        <v>986.13519490913768</v>
      </c>
      <c r="M9" s="31">
        <v>982.97664159213355</v>
      </c>
      <c r="N9" s="31">
        <v>979.80829915550862</v>
      </c>
      <c r="O9" s="31">
        <v>976.63007791298128</v>
      </c>
      <c r="P9" s="31">
        <v>973.44188753444882</v>
      </c>
      <c r="Q9" s="31">
        <v>970.24363704118821</v>
      </c>
      <c r="R9" s="31">
        <v>967.03523480101637</v>
      </c>
      <c r="S9" s="31">
        <v>963.81658852341616</v>
      </c>
      <c r="T9" s="31">
        <v>960.58760525462969</v>
      </c>
      <c r="U9" s="31">
        <v>957.3481913727087</v>
      </c>
      <c r="V9" s="31">
        <v>954.09825258253488</v>
      </c>
      <c r="W9" s="31">
        <v>950.83769391079932</v>
      </c>
      <c r="X9" s="31">
        <v>947.56641970094483</v>
      </c>
      <c r="Y9" s="31">
        <v>944.28433360807264</v>
      </c>
      <c r="Z9" s="31">
        <v>940.99133859381163</v>
      </c>
      <c r="AA9" s="31">
        <v>937.68733692114517</v>
      </c>
      <c r="AB9" s="31">
        <v>934.37223014920585</v>
      </c>
      <c r="AC9" s="31">
        <v>931.04591912802721</v>
      </c>
      <c r="AD9" s="31">
        <v>927.70830399325746</v>
      </c>
      <c r="AE9" s="31">
        <v>924.35928416083652</v>
      </c>
      <c r="AF9" s="31">
        <v>920.99875832162877</v>
      </c>
      <c r="AG9" s="31">
        <v>911.06760822028684</v>
      </c>
      <c r="AH9" s="31">
        <v>900.77266021549804</v>
      </c>
      <c r="AI9" s="31">
        <v>890.47771221070911</v>
      </c>
      <c r="AJ9" s="31">
        <v>880.18276420592031</v>
      </c>
      <c r="AK9" s="31">
        <v>869.8878162011315</v>
      </c>
      <c r="AL9" s="31">
        <v>859.59286819634258</v>
      </c>
      <c r="AM9" s="31">
        <v>849.29792019155377</v>
      </c>
      <c r="AN9" s="31">
        <v>839.00297218676496</v>
      </c>
      <c r="AO9" s="31">
        <v>828.70802418197604</v>
      </c>
      <c r="AP9" s="31">
        <v>818.41307617718724</v>
      </c>
      <c r="AQ9" s="31">
        <v>808.11812817239843</v>
      </c>
      <c r="AR9" s="31">
        <v>797.82318016760951</v>
      </c>
      <c r="AS9" s="31">
        <v>787.5282321628207</v>
      </c>
      <c r="AT9" s="31">
        <v>777.23328415803189</v>
      </c>
      <c r="AU9" s="31">
        <v>766.93833615324297</v>
      </c>
      <c r="AV9" s="31">
        <v>756.64338814845416</v>
      </c>
      <c r="AW9" s="31">
        <v>746.34844014366536</v>
      </c>
      <c r="AX9" s="31">
        <v>736.05349213887644</v>
      </c>
      <c r="AY9" s="31">
        <v>725.75854413408763</v>
      </c>
      <c r="AZ9" s="31">
        <v>715.46359612929882</v>
      </c>
      <c r="BA9" s="31">
        <v>705.1686481245099</v>
      </c>
      <c r="BB9" s="31">
        <v>694.87370011972098</v>
      </c>
      <c r="BC9" s="31">
        <v>684.57875211493217</v>
      </c>
      <c r="BD9" s="31">
        <v>674.28380411014336</v>
      </c>
      <c r="BE9" s="31">
        <v>663.98885610535456</v>
      </c>
      <c r="BF9" s="31">
        <v>653.69390810056564</v>
      </c>
      <c r="BG9" s="31">
        <v>643.39896009577683</v>
      </c>
      <c r="BH9" s="31">
        <v>633.10401209098791</v>
      </c>
      <c r="BI9" s="31">
        <v>622.8090640861991</v>
      </c>
      <c r="BJ9" s="31">
        <v>612.51411608141029</v>
      </c>
      <c r="BK9" s="31">
        <v>602.21916807662137</v>
      </c>
      <c r="BL9" s="31">
        <v>591.92422007183256</v>
      </c>
      <c r="BM9" s="31">
        <v>581.62927206704376</v>
      </c>
      <c r="BN9" s="31">
        <v>571.33432406225484</v>
      </c>
      <c r="BO9" s="31">
        <v>561.03937605746603</v>
      </c>
      <c r="BP9" s="31">
        <v>550.74442805267722</v>
      </c>
      <c r="BQ9" s="31">
        <v>540.4494800478883</v>
      </c>
      <c r="BR9" s="31">
        <v>530.15453204309949</v>
      </c>
      <c r="BS9" s="31">
        <v>519.85958403831069</v>
      </c>
      <c r="BT9" s="31">
        <v>509.56463603352182</v>
      </c>
      <c r="BU9" s="31">
        <v>499.26968802873301</v>
      </c>
      <c r="BV9" s="31">
        <v>488.97474002394409</v>
      </c>
      <c r="BW9" s="31">
        <v>478.67979201915517</v>
      </c>
      <c r="BX9" s="31">
        <v>468.38484401436642</v>
      </c>
      <c r="BY9" s="31">
        <v>458.08989600957761</v>
      </c>
      <c r="BZ9" s="31">
        <v>447.79494800478869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0</v>
      </c>
      <c r="CK9" s="31">
        <v>0</v>
      </c>
      <c r="CL9" s="31">
        <v>0</v>
      </c>
      <c r="CM9" s="31">
        <v>0</v>
      </c>
      <c r="CN9" s="31">
        <v>0</v>
      </c>
      <c r="CO9" s="31">
        <v>0</v>
      </c>
      <c r="CP9" s="31">
        <v>0</v>
      </c>
      <c r="CQ9" s="31">
        <v>0</v>
      </c>
      <c r="CR9" s="31">
        <v>0</v>
      </c>
      <c r="CS9" s="31">
        <v>0</v>
      </c>
      <c r="CT9" s="31">
        <v>0</v>
      </c>
      <c r="CU9" s="31">
        <v>0</v>
      </c>
      <c r="CV9" s="31">
        <v>0</v>
      </c>
      <c r="CW9" s="31">
        <v>0</v>
      </c>
      <c r="CX9" s="31">
        <v>0</v>
      </c>
      <c r="CY9" s="31">
        <v>0</v>
      </c>
      <c r="CZ9" s="31">
        <v>0</v>
      </c>
      <c r="DA9" s="31">
        <v>0</v>
      </c>
      <c r="DB9" s="31">
        <v>0</v>
      </c>
    </row>
    <row r="10" spans="1:106" x14ac:dyDescent="0.45">
      <c r="A10" s="24" t="s">
        <v>246</v>
      </c>
      <c r="B10" s="25" t="s">
        <v>18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6.5590162157346867</v>
      </c>
      <c r="AH10" s="30">
        <v>13.47011951298089</v>
      </c>
      <c r="AI10" s="30">
        <v>20.369408471349061</v>
      </c>
      <c r="AJ10" s="30">
        <v>27.256778826964361</v>
      </c>
      <c r="AK10" s="30">
        <v>34.132125563453201</v>
      </c>
      <c r="AL10" s="30">
        <v>40.995342906336987</v>
      </c>
      <c r="AM10" s="30">
        <v>47.846324317380443</v>
      </c>
      <c r="AN10" s="30">
        <v>54.684962488905171</v>
      </c>
      <c r="AO10" s="30">
        <v>61.511149338051609</v>
      </c>
      <c r="AP10" s="30">
        <v>68.324776001007308</v>
      </c>
      <c r="AQ10" s="30">
        <v>75.125732827186766</v>
      </c>
      <c r="AR10" s="30">
        <v>81.913909373370757</v>
      </c>
      <c r="AS10" s="30">
        <v>88.68919439780052</v>
      </c>
      <c r="AT10" s="30">
        <v>95.451475854230807</v>
      </c>
      <c r="AU10" s="30">
        <v>100.86923066445139</v>
      </c>
      <c r="AV10" s="30">
        <v>105.9211818647526</v>
      </c>
      <c r="AW10" s="30">
        <v>110.9631246196944</v>
      </c>
      <c r="AX10" s="30">
        <v>115.9949724358499</v>
      </c>
      <c r="AY10" s="30">
        <v>121.01663819361769</v>
      </c>
      <c r="AZ10" s="30">
        <v>126.02803414255951</v>
      </c>
      <c r="BA10" s="30">
        <v>131.0290718967008</v>
      </c>
      <c r="BB10" s="30">
        <v>136.01966242979819</v>
      </c>
      <c r="BC10" s="30">
        <v>140.999716070571</v>
      </c>
      <c r="BD10" s="30">
        <v>145.96914249789901</v>
      </c>
      <c r="BE10" s="30">
        <v>150.92785073598219</v>
      </c>
      <c r="BF10" s="30">
        <v>155.875749149467</v>
      </c>
      <c r="BG10" s="30">
        <v>160.81274543853311</v>
      </c>
      <c r="BH10" s="30">
        <v>165.73874663394881</v>
      </c>
      <c r="BI10" s="30">
        <v>170.65365909208529</v>
      </c>
      <c r="BJ10" s="30">
        <v>175.55738848989591</v>
      </c>
      <c r="BK10" s="30">
        <v>180.44983981985851</v>
      </c>
      <c r="BL10" s="30">
        <v>185.33091738487741</v>
      </c>
      <c r="BM10" s="30">
        <v>190.20052479315379</v>
      </c>
      <c r="BN10" s="30">
        <v>195.0585649530104</v>
      </c>
      <c r="BO10" s="30">
        <v>199.90494006768421</v>
      </c>
      <c r="BP10" s="30">
        <v>204.73955163007551</v>
      </c>
      <c r="BQ10" s="30">
        <v>209.56230041746369</v>
      </c>
      <c r="BR10" s="30">
        <v>214.3730864861765</v>
      </c>
      <c r="BS10" s="30">
        <v>219.17180916622829</v>
      </c>
      <c r="BT10" s="30">
        <v>223.9583670559106</v>
      </c>
      <c r="BU10" s="30">
        <v>228.73265801634821</v>
      </c>
      <c r="BV10" s="30">
        <v>233.4945791660123</v>
      </c>
      <c r="BW10" s="30">
        <v>238.24402687519321</v>
      </c>
      <c r="BX10" s="30">
        <v>242.9808967604325</v>
      </c>
      <c r="BY10" s="30">
        <v>247.70508367891389</v>
      </c>
      <c r="BZ10" s="30">
        <v>252.4164817228127</v>
      </c>
      <c r="CA10" s="30">
        <v>694.61498421360227</v>
      </c>
      <c r="CB10" s="30">
        <v>691.57927269272864</v>
      </c>
      <c r="CC10" s="30">
        <v>688.53044992660682</v>
      </c>
      <c r="CD10" s="30">
        <v>685.46840689002647</v>
      </c>
      <c r="CE10" s="30">
        <v>682.39303376387954</v>
      </c>
      <c r="CF10" s="30">
        <v>679.3042199292538</v>
      </c>
      <c r="CG10" s="30">
        <v>676.20185396148236</v>
      </c>
      <c r="CH10" s="30">
        <v>673.08582362414813</v>
      </c>
      <c r="CI10" s="30">
        <v>669.95601586304588</v>
      </c>
      <c r="CJ10" s="30">
        <v>666.81231680009603</v>
      </c>
      <c r="CK10" s="30">
        <v>663.65461172721848</v>
      </c>
      <c r="CL10" s="30">
        <v>660.48278510015643</v>
      </c>
      <c r="CM10" s="30">
        <v>657.29672053225579</v>
      </c>
      <c r="CN10" s="30">
        <v>654.09630078819873</v>
      </c>
      <c r="CO10" s="30">
        <v>650.88140777769274</v>
      </c>
      <c r="CP10" s="30">
        <v>647.65192254910869</v>
      </c>
      <c r="CQ10" s="30">
        <v>644.40772528307514</v>
      </c>
      <c r="CR10" s="30">
        <v>641.14869528602389</v>
      </c>
      <c r="CS10" s="30">
        <v>637.87471098368758</v>
      </c>
      <c r="CT10" s="30">
        <v>634.58564991454955</v>
      </c>
      <c r="CU10" s="30">
        <v>631.28138872324507</v>
      </c>
      <c r="CV10" s="30">
        <v>627.96180315391302</v>
      </c>
      <c r="CW10" s="30">
        <v>624.62676804349906</v>
      </c>
      <c r="CX10" s="30">
        <v>621.27615731500907</v>
      </c>
      <c r="CY10" s="30">
        <v>617.90984397071168</v>
      </c>
      <c r="CZ10" s="30">
        <v>614.52770008529205</v>
      </c>
      <c r="DA10" s="30">
        <v>611.12959679895334</v>
      </c>
      <c r="DB10" s="30">
        <v>607.71540431046697</v>
      </c>
    </row>
    <row r="12" spans="1:106" x14ac:dyDescent="0.45">
      <c r="A12" s="24" t="s">
        <v>247</v>
      </c>
      <c r="B12" s="25" t="s">
        <v>18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0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  <c r="CD12" s="30">
        <v>0</v>
      </c>
      <c r="CE12" s="30">
        <v>0</v>
      </c>
      <c r="CF12" s="30">
        <v>0</v>
      </c>
      <c r="CG12" s="30">
        <v>0</v>
      </c>
      <c r="CH12" s="30">
        <v>0</v>
      </c>
      <c r="CI12" s="30">
        <v>0</v>
      </c>
      <c r="CJ12" s="30">
        <v>0</v>
      </c>
      <c r="CK12" s="30">
        <v>0</v>
      </c>
      <c r="CL12" s="30">
        <v>0</v>
      </c>
      <c r="CM12" s="30">
        <v>0</v>
      </c>
      <c r="CN12" s="30">
        <v>0</v>
      </c>
      <c r="CO12" s="30">
        <v>0</v>
      </c>
      <c r="CP12" s="30">
        <v>0</v>
      </c>
      <c r="CQ12" s="30">
        <v>0</v>
      </c>
      <c r="CR12" s="30">
        <v>0</v>
      </c>
      <c r="CS12" s="30">
        <v>0</v>
      </c>
      <c r="CT12" s="30">
        <v>0</v>
      </c>
      <c r="CU12" s="30">
        <v>0</v>
      </c>
      <c r="CV12" s="30">
        <v>0</v>
      </c>
      <c r="CW12" s="30">
        <v>0</v>
      </c>
      <c r="CX12" s="30">
        <v>0</v>
      </c>
      <c r="CY12" s="30">
        <v>0</v>
      </c>
      <c r="CZ12" s="30">
        <v>0</v>
      </c>
      <c r="DA12" s="30">
        <v>0</v>
      </c>
      <c r="DB12" s="30">
        <v>0</v>
      </c>
    </row>
    <row r="13" spans="1:106" x14ac:dyDescent="0.45">
      <c r="A13" s="24" t="s">
        <v>248</v>
      </c>
      <c r="B13" s="25" t="s">
        <v>18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6.5590162157346867</v>
      </c>
      <c r="AH13" s="31">
        <v>13.47011951298089</v>
      </c>
      <c r="AI13" s="31">
        <v>20.369408471349061</v>
      </c>
      <c r="AJ13" s="31">
        <v>27.256778826964361</v>
      </c>
      <c r="AK13" s="31">
        <v>34.132125563453201</v>
      </c>
      <c r="AL13" s="31">
        <v>40.995342906336987</v>
      </c>
      <c r="AM13" s="31">
        <v>47.846324317380443</v>
      </c>
      <c r="AN13" s="31">
        <v>54.684962488905171</v>
      </c>
      <c r="AO13" s="31">
        <v>61.511149338051609</v>
      </c>
      <c r="AP13" s="31">
        <v>68.324776001007308</v>
      </c>
      <c r="AQ13" s="31">
        <v>75.125732827186766</v>
      </c>
      <c r="AR13" s="31">
        <v>81.913909373370757</v>
      </c>
      <c r="AS13" s="31">
        <v>88.68919439780052</v>
      </c>
      <c r="AT13" s="31">
        <v>95.451475854230807</v>
      </c>
      <c r="AU13" s="31">
        <v>100.86923066445139</v>
      </c>
      <c r="AV13" s="31">
        <v>105.9211818647526</v>
      </c>
      <c r="AW13" s="31">
        <v>110.9631246196944</v>
      </c>
      <c r="AX13" s="31">
        <v>115.9949724358499</v>
      </c>
      <c r="AY13" s="31">
        <v>121.01663819361769</v>
      </c>
      <c r="AZ13" s="31">
        <v>126.02803414255951</v>
      </c>
      <c r="BA13" s="31">
        <v>131.0290718967008</v>
      </c>
      <c r="BB13" s="31">
        <v>136.01966242979819</v>
      </c>
      <c r="BC13" s="31">
        <v>140.999716070571</v>
      </c>
      <c r="BD13" s="31">
        <v>145.96914249789901</v>
      </c>
      <c r="BE13" s="31">
        <v>150.92785073598219</v>
      </c>
      <c r="BF13" s="31">
        <v>155.875749149467</v>
      </c>
      <c r="BG13" s="31">
        <v>160.81274543853311</v>
      </c>
      <c r="BH13" s="31">
        <v>165.73874663394881</v>
      </c>
      <c r="BI13" s="31">
        <v>170.65365909208529</v>
      </c>
      <c r="BJ13" s="31">
        <v>175.55738848989591</v>
      </c>
      <c r="BK13" s="31">
        <v>180.44983981985851</v>
      </c>
      <c r="BL13" s="31">
        <v>185.33091738487741</v>
      </c>
      <c r="BM13" s="31">
        <v>190.20052479315379</v>
      </c>
      <c r="BN13" s="31">
        <v>195.0585649530104</v>
      </c>
      <c r="BO13" s="31">
        <v>199.90494006768421</v>
      </c>
      <c r="BP13" s="31">
        <v>204.73955163007551</v>
      </c>
      <c r="BQ13" s="31">
        <v>209.56230041746369</v>
      </c>
      <c r="BR13" s="31">
        <v>214.3730864861765</v>
      </c>
      <c r="BS13" s="31">
        <v>219.17180916622829</v>
      </c>
      <c r="BT13" s="31">
        <v>223.9583670559106</v>
      </c>
      <c r="BU13" s="31">
        <v>228.73265801634821</v>
      </c>
      <c r="BV13" s="31">
        <v>233.4945791660123</v>
      </c>
      <c r="BW13" s="31">
        <v>238.24402687519321</v>
      </c>
      <c r="BX13" s="31">
        <v>242.9808967604325</v>
      </c>
      <c r="BY13" s="31">
        <v>247.70508367891389</v>
      </c>
      <c r="BZ13" s="31">
        <v>252.4164817228127</v>
      </c>
      <c r="CA13" s="31">
        <v>694.61498421360227</v>
      </c>
      <c r="CB13" s="31">
        <v>691.57927269272864</v>
      </c>
      <c r="CC13" s="31">
        <v>688.53044992660682</v>
      </c>
      <c r="CD13" s="31">
        <v>685.46840689002647</v>
      </c>
      <c r="CE13" s="31">
        <v>682.39303376387954</v>
      </c>
      <c r="CF13" s="31">
        <v>679.3042199292538</v>
      </c>
      <c r="CG13" s="31">
        <v>676.20185396148236</v>
      </c>
      <c r="CH13" s="31">
        <v>673.08582362414813</v>
      </c>
      <c r="CI13" s="31">
        <v>669.95601586304588</v>
      </c>
      <c r="CJ13" s="31">
        <v>666.81231680009603</v>
      </c>
      <c r="CK13" s="31">
        <v>663.65461172721848</v>
      </c>
      <c r="CL13" s="31">
        <v>660.48278510015643</v>
      </c>
      <c r="CM13" s="31">
        <v>657.29672053225579</v>
      </c>
      <c r="CN13" s="31">
        <v>654.09630078819873</v>
      </c>
      <c r="CO13" s="31">
        <v>650.88140777769274</v>
      </c>
      <c r="CP13" s="31">
        <v>647.65192254910869</v>
      </c>
      <c r="CQ13" s="31">
        <v>644.40772528307514</v>
      </c>
      <c r="CR13" s="31">
        <v>641.14869528602389</v>
      </c>
      <c r="CS13" s="31">
        <v>637.87471098368758</v>
      </c>
      <c r="CT13" s="31">
        <v>634.58564991454955</v>
      </c>
      <c r="CU13" s="31">
        <v>631.28138872324507</v>
      </c>
      <c r="CV13" s="31">
        <v>627.96180315391302</v>
      </c>
      <c r="CW13" s="31">
        <v>624.62676804349906</v>
      </c>
      <c r="CX13" s="31">
        <v>621.27615731500907</v>
      </c>
      <c r="CY13" s="31">
        <v>617.90984397071168</v>
      </c>
      <c r="CZ13" s="31">
        <v>614.52770008529205</v>
      </c>
      <c r="DA13" s="31">
        <v>611.12959679895334</v>
      </c>
      <c r="DB13" s="31">
        <v>607.71540431046697</v>
      </c>
    </row>
    <row r="15" spans="1:106" x14ac:dyDescent="0.45">
      <c r="A15" s="24" t="s">
        <v>249</v>
      </c>
      <c r="B15" s="25" t="s">
        <v>18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  <c r="BQ15" s="31">
        <v>0</v>
      </c>
      <c r="BR15" s="31">
        <v>0</v>
      </c>
      <c r="BS15" s="31">
        <v>0</v>
      </c>
      <c r="BT15" s="31">
        <v>0</v>
      </c>
      <c r="BU15" s="31">
        <v>0</v>
      </c>
      <c r="BV15" s="31">
        <v>0</v>
      </c>
      <c r="BW15" s="31">
        <v>0</v>
      </c>
      <c r="BX15" s="31">
        <v>0</v>
      </c>
      <c r="BY15" s="31">
        <v>0</v>
      </c>
      <c r="BZ15" s="31">
        <v>0</v>
      </c>
      <c r="CA15" s="31">
        <v>0</v>
      </c>
      <c r="CB15" s="31">
        <v>0</v>
      </c>
      <c r="CC15" s="31">
        <v>0</v>
      </c>
      <c r="CD15" s="31">
        <v>0</v>
      </c>
      <c r="CE15" s="31">
        <v>0</v>
      </c>
      <c r="CF15" s="31">
        <v>0</v>
      </c>
      <c r="CG15" s="31">
        <v>0</v>
      </c>
      <c r="CH15" s="31">
        <v>0</v>
      </c>
      <c r="CI15" s="31">
        <v>0</v>
      </c>
      <c r="CJ15" s="31">
        <v>0</v>
      </c>
      <c r="CK15" s="31">
        <v>0</v>
      </c>
      <c r="CL15" s="31">
        <v>0</v>
      </c>
      <c r="CM15" s="31">
        <v>0</v>
      </c>
      <c r="CN15" s="31">
        <v>0</v>
      </c>
      <c r="CO15" s="31">
        <v>0</v>
      </c>
      <c r="CP15" s="31">
        <v>0</v>
      </c>
      <c r="CQ15" s="31">
        <v>0</v>
      </c>
      <c r="CR15" s="31">
        <v>0</v>
      </c>
      <c r="CS15" s="31">
        <v>0</v>
      </c>
      <c r="CT15" s="31">
        <v>0</v>
      </c>
      <c r="CU15" s="31">
        <v>0</v>
      </c>
      <c r="CV15" s="31">
        <v>0</v>
      </c>
      <c r="CW15" s="31">
        <v>0</v>
      </c>
      <c r="CX15" s="31">
        <v>0</v>
      </c>
      <c r="CY15" s="31">
        <v>0</v>
      </c>
      <c r="CZ15" s="31">
        <v>0</v>
      </c>
      <c r="DA15" s="31">
        <v>0</v>
      </c>
      <c r="DB15" s="31">
        <v>0</v>
      </c>
    </row>
    <row r="17" spans="1:106" x14ac:dyDescent="0.45">
      <c r="A17" s="27" t="s">
        <v>250</v>
      </c>
      <c r="B17" s="28" t="s">
        <v>18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6.5590162157346867</v>
      </c>
      <c r="AH17" s="29">
        <v>13.47011951298089</v>
      </c>
      <c r="AI17" s="29">
        <v>20.369408471349061</v>
      </c>
      <c r="AJ17" s="29">
        <v>27.256778826964361</v>
      </c>
      <c r="AK17" s="29">
        <v>34.132125563453201</v>
      </c>
      <c r="AL17" s="29">
        <v>40.995342906336987</v>
      </c>
      <c r="AM17" s="29">
        <v>47.846324317380443</v>
      </c>
      <c r="AN17" s="29">
        <v>54.684962488905171</v>
      </c>
      <c r="AO17" s="29">
        <v>61.511149338051609</v>
      </c>
      <c r="AP17" s="29">
        <v>68.324776001007308</v>
      </c>
      <c r="AQ17" s="29">
        <v>75.125732827186766</v>
      </c>
      <c r="AR17" s="29">
        <v>81.913909373370757</v>
      </c>
      <c r="AS17" s="29">
        <v>88.68919439780052</v>
      </c>
      <c r="AT17" s="29">
        <v>95.451475854230807</v>
      </c>
      <c r="AU17" s="29">
        <v>100.86923066445139</v>
      </c>
      <c r="AV17" s="29">
        <v>105.9211818647526</v>
      </c>
      <c r="AW17" s="29">
        <v>110.9631246196944</v>
      </c>
      <c r="AX17" s="29">
        <v>115.9949724358499</v>
      </c>
      <c r="AY17" s="29">
        <v>121.01663819361769</v>
      </c>
      <c r="AZ17" s="29">
        <v>126.02803414255951</v>
      </c>
      <c r="BA17" s="29">
        <v>131.0290718967008</v>
      </c>
      <c r="BB17" s="29">
        <v>136.01966242979819</v>
      </c>
      <c r="BC17" s="29">
        <v>140.999716070571</v>
      </c>
      <c r="BD17" s="29">
        <v>145.96914249789901</v>
      </c>
      <c r="BE17" s="29">
        <v>150.92785073598219</v>
      </c>
      <c r="BF17" s="29">
        <v>155.875749149467</v>
      </c>
      <c r="BG17" s="29">
        <v>160.81274543853311</v>
      </c>
      <c r="BH17" s="29">
        <v>165.73874663394881</v>
      </c>
      <c r="BI17" s="29">
        <v>170.65365909208529</v>
      </c>
      <c r="BJ17" s="29">
        <v>175.55738848989591</v>
      </c>
      <c r="BK17" s="29">
        <v>180.44983981985851</v>
      </c>
      <c r="BL17" s="29">
        <v>185.33091738487741</v>
      </c>
      <c r="BM17" s="29">
        <v>190.20052479315379</v>
      </c>
      <c r="BN17" s="29">
        <v>195.0585649530104</v>
      </c>
      <c r="BO17" s="29">
        <v>199.90494006768421</v>
      </c>
      <c r="BP17" s="29">
        <v>204.73955163007551</v>
      </c>
      <c r="BQ17" s="29">
        <v>209.56230041746369</v>
      </c>
      <c r="BR17" s="29">
        <v>214.3730864861765</v>
      </c>
      <c r="BS17" s="29">
        <v>219.17180916622829</v>
      </c>
      <c r="BT17" s="29">
        <v>223.9583670559106</v>
      </c>
      <c r="BU17" s="29">
        <v>228.73265801634821</v>
      </c>
      <c r="BV17" s="29">
        <v>233.4945791660123</v>
      </c>
      <c r="BW17" s="29">
        <v>238.24402687519321</v>
      </c>
      <c r="BX17" s="29">
        <v>242.9808967604325</v>
      </c>
      <c r="BY17" s="29">
        <v>247.70508367891389</v>
      </c>
      <c r="BZ17" s="29">
        <v>252.4164817228127</v>
      </c>
      <c r="CA17" s="29">
        <v>694.61498421360227</v>
      </c>
      <c r="CB17" s="29">
        <v>691.57927269272864</v>
      </c>
      <c r="CC17" s="29">
        <v>688.53044992660682</v>
      </c>
      <c r="CD17" s="29">
        <v>685.46840689002647</v>
      </c>
      <c r="CE17" s="29">
        <v>682.39303376387954</v>
      </c>
      <c r="CF17" s="29">
        <v>679.3042199292538</v>
      </c>
      <c r="CG17" s="29">
        <v>676.20185396148236</v>
      </c>
      <c r="CH17" s="29">
        <v>673.08582362414813</v>
      </c>
      <c r="CI17" s="29">
        <v>669.95601586304588</v>
      </c>
      <c r="CJ17" s="29">
        <v>666.81231680009603</v>
      </c>
      <c r="CK17" s="29">
        <v>663.65461172721848</v>
      </c>
      <c r="CL17" s="29">
        <v>660.48278510015643</v>
      </c>
      <c r="CM17" s="29">
        <v>657.29672053225579</v>
      </c>
      <c r="CN17" s="29">
        <v>654.09630078819873</v>
      </c>
      <c r="CO17" s="29">
        <v>650.88140777769274</v>
      </c>
      <c r="CP17" s="29">
        <v>647.65192254910869</v>
      </c>
      <c r="CQ17" s="29">
        <v>644.40772528307514</v>
      </c>
      <c r="CR17" s="29">
        <v>641.14869528602389</v>
      </c>
      <c r="CS17" s="29">
        <v>637.87471098368758</v>
      </c>
      <c r="CT17" s="29">
        <v>634.58564991454955</v>
      </c>
      <c r="CU17" s="29">
        <v>631.28138872324507</v>
      </c>
      <c r="CV17" s="29">
        <v>627.96180315391302</v>
      </c>
      <c r="CW17" s="29">
        <v>624.62676804349906</v>
      </c>
      <c r="CX17" s="29">
        <v>621.27615731500907</v>
      </c>
      <c r="CY17" s="29">
        <v>617.90984397071168</v>
      </c>
      <c r="CZ17" s="29">
        <v>614.52770008529205</v>
      </c>
      <c r="DA17" s="29">
        <v>611.12959679895334</v>
      </c>
      <c r="DB17" s="29">
        <v>607.71540431046697</v>
      </c>
    </row>
    <row r="19" spans="1:106" x14ac:dyDescent="0.45">
      <c r="A19" s="24" t="s">
        <v>251</v>
      </c>
      <c r="B19" s="25" t="s">
        <v>18</v>
      </c>
      <c r="C19" s="31">
        <v>0</v>
      </c>
      <c r="D19" s="31">
        <v>0</v>
      </c>
      <c r="E19" s="31">
        <v>0</v>
      </c>
      <c r="F19" s="31">
        <v>0</v>
      </c>
      <c r="G19" s="31">
        <v>1264.03421925</v>
      </c>
      <c r="H19" s="31">
        <v>1262.451205225062</v>
      </c>
      <c r="I19" s="31">
        <v>1260.870173688704</v>
      </c>
      <c r="J19" s="31">
        <v>1259.291122158153</v>
      </c>
      <c r="K19" s="31">
        <v>1257.7140481537499</v>
      </c>
      <c r="L19" s="31">
        <v>1256.1389491989371</v>
      </c>
      <c r="M19" s="31">
        <v>1254.5658228202601</v>
      </c>
      <c r="N19" s="31">
        <v>1252.9946665473631</v>
      </c>
      <c r="O19" s="31">
        <v>1251.425477912981</v>
      </c>
      <c r="P19" s="31">
        <v>1249.858254452942</v>
      </c>
      <c r="Q19" s="31">
        <v>1248.292993706159</v>
      </c>
      <c r="R19" s="31">
        <v>1246.729693214626</v>
      </c>
      <c r="S19" s="31">
        <v>1245.1683505234159</v>
      </c>
      <c r="T19" s="31">
        <v>1243.6089631806781</v>
      </c>
      <c r="U19" s="31">
        <v>1242.0515287376279</v>
      </c>
      <c r="V19" s="31">
        <v>1240.496044748553</v>
      </c>
      <c r="W19" s="31">
        <v>1238.9425087707989</v>
      </c>
      <c r="X19" s="31">
        <v>1237.390918364775</v>
      </c>
      <c r="Y19" s="31">
        <v>1235.8412710939399</v>
      </c>
      <c r="Z19" s="31">
        <v>1234.2935645248101</v>
      </c>
      <c r="AA19" s="31">
        <v>1232.747796226945</v>
      </c>
      <c r="AB19" s="31">
        <v>1231.2039637729499</v>
      </c>
      <c r="AC19" s="31">
        <v>1229.66206473847</v>
      </c>
      <c r="AD19" s="31">
        <v>1228.1220967021859</v>
      </c>
      <c r="AE19" s="31">
        <v>1226.584057245811</v>
      </c>
      <c r="AF19" s="31">
        <v>1225.0479439540859</v>
      </c>
      <c r="AG19" s="31">
        <v>1223.5137544147781</v>
      </c>
      <c r="AH19" s="31">
        <v>1221.9814862186749</v>
      </c>
      <c r="AI19" s="31">
        <v>1220.4511369595809</v>
      </c>
      <c r="AJ19" s="31">
        <v>1218.922704234315</v>
      </c>
      <c r="AK19" s="31">
        <v>1217.396185642704</v>
      </c>
      <c r="AL19" s="31">
        <v>1215.8715787875819</v>
      </c>
      <c r="AM19" s="31">
        <v>1214.348881274783</v>
      </c>
      <c r="AN19" s="31">
        <v>1212.828090713143</v>
      </c>
      <c r="AO19" s="31">
        <v>1211.309204714491</v>
      </c>
      <c r="AP19" s="31">
        <v>1209.7922208936441</v>
      </c>
      <c r="AQ19" s="31">
        <v>1208.27713686841</v>
      </c>
      <c r="AR19" s="31">
        <v>1206.763950259578</v>
      </c>
      <c r="AS19" s="31">
        <v>1205.252658690918</v>
      </c>
      <c r="AT19" s="31">
        <v>1203.7432597891759</v>
      </c>
      <c r="AU19" s="31">
        <v>1202.2357511840671</v>
      </c>
      <c r="AV19" s="31">
        <v>1200.7301305082799</v>
      </c>
      <c r="AW19" s="31">
        <v>1199.2263953974641</v>
      </c>
      <c r="AX19" s="31">
        <v>1197.72454349023</v>
      </c>
      <c r="AY19" s="31">
        <v>1196.224572428147</v>
      </c>
      <c r="AZ19" s="31">
        <v>1194.726479855738</v>
      </c>
      <c r="BA19" s="31">
        <v>1193.2302634204759</v>
      </c>
      <c r="BB19" s="31">
        <v>1191.7359207727791</v>
      </c>
      <c r="BC19" s="31">
        <v>1190.2434495660059</v>
      </c>
      <c r="BD19" s="31">
        <v>1188.7528474564599</v>
      </c>
      <c r="BE19" s="31">
        <v>1187.2641121033739</v>
      </c>
      <c r="BF19" s="31">
        <v>1185.777241168915</v>
      </c>
      <c r="BG19" s="31">
        <v>1184.292232318177</v>
      </c>
      <c r="BH19" s="31">
        <v>1182.8090832191781</v>
      </c>
      <c r="BI19" s="31">
        <v>1181.3277915428571</v>
      </c>
      <c r="BJ19" s="31">
        <v>1179.8483549630701</v>
      </c>
      <c r="BK19" s="31">
        <v>1178.370771156586</v>
      </c>
      <c r="BL19" s="31">
        <v>1176.8950378030811</v>
      </c>
      <c r="BM19" s="31">
        <v>1175.4211525851431</v>
      </c>
      <c r="BN19" s="31">
        <v>1173.9491131882539</v>
      </c>
      <c r="BO19" s="31">
        <v>1172.478917300803</v>
      </c>
      <c r="BP19" s="31">
        <v>1171.010562614066</v>
      </c>
      <c r="BQ19" s="31">
        <v>1169.5440468222171</v>
      </c>
      <c r="BR19" s="31">
        <v>1168.0793676223129</v>
      </c>
      <c r="BS19" s="31">
        <v>1166.616522714299</v>
      </c>
      <c r="BT19" s="31">
        <v>1165.155509800996</v>
      </c>
      <c r="BU19" s="31">
        <v>1163.6963265881061</v>
      </c>
      <c r="BV19" s="31">
        <v>1162.2389707842019</v>
      </c>
      <c r="BW19" s="31">
        <v>1160.7834401007269</v>
      </c>
      <c r="BX19" s="31">
        <v>1159.3297322519909</v>
      </c>
      <c r="BY19" s="31">
        <v>1157.8778449551651</v>
      </c>
      <c r="BZ19" s="31">
        <v>1156.4277759302811</v>
      </c>
      <c r="CA19" s="31">
        <v>1154.9795229002229</v>
      </c>
      <c r="CB19" s="31">
        <v>1153.5330835907309</v>
      </c>
      <c r="CC19" s="31">
        <v>1152.0884557303889</v>
      </c>
      <c r="CD19" s="31">
        <v>1150.6456370506289</v>
      </c>
      <c r="CE19" s="31">
        <v>1149.2046252857219</v>
      </c>
      <c r="CF19" s="31">
        <v>1147.7654181727769</v>
      </c>
      <c r="CG19" s="31">
        <v>1146.328013451737</v>
      </c>
      <c r="CH19" s="31">
        <v>1144.892408865376</v>
      </c>
      <c r="CI19" s="31">
        <v>1143.4586021592941</v>
      </c>
      <c r="CJ19" s="31">
        <v>1142.026591081913</v>
      </c>
      <c r="CK19" s="31">
        <v>1140.596373384479</v>
      </c>
      <c r="CL19" s="31">
        <v>1139.1679468210491</v>
      </c>
      <c r="CM19" s="31">
        <v>1137.741309148498</v>
      </c>
      <c r="CN19" s="31">
        <v>1136.3164581265039</v>
      </c>
      <c r="CO19" s="31">
        <v>1134.893391517556</v>
      </c>
      <c r="CP19" s="31">
        <v>1133.4721070869441</v>
      </c>
      <c r="CQ19" s="31">
        <v>1132.0526026027551</v>
      </c>
      <c r="CR19" s="31">
        <v>1130.6348758358711</v>
      </c>
      <c r="CS19" s="31">
        <v>1129.2189245599691</v>
      </c>
      <c r="CT19" s="31">
        <v>1127.804746551509</v>
      </c>
      <c r="CU19" s="31">
        <v>1126.3923395897409</v>
      </c>
      <c r="CV19" s="31">
        <v>1124.981701456692</v>
      </c>
      <c r="CW19" s="31">
        <v>1123.572829937169</v>
      </c>
      <c r="CX19" s="31">
        <v>1122.1657228187521</v>
      </c>
      <c r="CY19" s="31">
        <v>1120.7603778917919</v>
      </c>
      <c r="CZ19" s="31">
        <v>1119.3567929494079</v>
      </c>
      <c r="DA19" s="31">
        <v>1117.9549657874829</v>
      </c>
      <c r="DB19" s="31">
        <v>1116.554894204658</v>
      </c>
    </row>
    <row r="20" spans="1:106" x14ac:dyDescent="0.45">
      <c r="A20" s="24" t="s">
        <v>252</v>
      </c>
      <c r="B20" s="25" t="s">
        <v>18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2.2737367544323211E-13</v>
      </c>
      <c r="AH20" s="30">
        <v>-2.2737367544323211E-13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2.2737367544323211E-13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-2.2737367544323211E-13</v>
      </c>
      <c r="AU20" s="30">
        <v>0</v>
      </c>
      <c r="AV20" s="30">
        <v>-2.2737367544323211E-13</v>
      </c>
      <c r="AW20" s="30">
        <v>-2.2737367544323211E-13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2.2737367544323211E-13</v>
      </c>
      <c r="BD20" s="30">
        <v>-2.2737367544323211E-13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2.2737367544323211E-13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-2.2737367544323211E-13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0</v>
      </c>
      <c r="CL20" s="30">
        <v>0</v>
      </c>
      <c r="CM20" s="30">
        <v>0</v>
      </c>
      <c r="CN20" s="30">
        <v>0</v>
      </c>
      <c r="CO20" s="30">
        <v>0</v>
      </c>
      <c r="CP20" s="30">
        <v>0</v>
      </c>
      <c r="CQ20" s="30">
        <v>0</v>
      </c>
      <c r="CR20" s="30">
        <v>0</v>
      </c>
      <c r="CS20" s="30">
        <v>0</v>
      </c>
      <c r="CT20" s="30">
        <v>0</v>
      </c>
      <c r="CU20" s="30">
        <v>0</v>
      </c>
      <c r="CV20" s="30">
        <v>0</v>
      </c>
      <c r="CW20" s="30">
        <v>0</v>
      </c>
      <c r="CX20" s="30">
        <v>0</v>
      </c>
      <c r="CY20" s="30">
        <v>0</v>
      </c>
      <c r="CZ20" s="30">
        <v>0</v>
      </c>
      <c r="DA20" s="30">
        <v>0</v>
      </c>
      <c r="DB20" s="30">
        <v>0</v>
      </c>
    </row>
  </sheetData>
  <mergeCells count="2">
    <mergeCell ref="A1:DB1"/>
    <mergeCell ref="A3:D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showGridLines="0" workbookViewId="0">
      <selection activeCell="B6" sqref="B6"/>
    </sheetView>
  </sheetViews>
  <sheetFormatPr defaultRowHeight="14.25" x14ac:dyDescent="0.45"/>
  <cols>
    <col min="1" max="1" width="28" customWidth="1"/>
    <col min="2" max="6" width="18" customWidth="1"/>
  </cols>
  <sheetData>
    <row r="1" spans="1:7" ht="28.05" customHeight="1" x14ac:dyDescent="0.45">
      <c r="A1" s="60" t="s">
        <v>253</v>
      </c>
      <c r="B1" s="57"/>
      <c r="C1" s="57"/>
      <c r="D1" s="57"/>
      <c r="E1" s="57"/>
      <c r="F1" s="57"/>
      <c r="G1" s="57"/>
    </row>
    <row r="3" spans="1:7" x14ac:dyDescent="0.45">
      <c r="A3" s="42" t="s">
        <v>254</v>
      </c>
      <c r="B3" s="43">
        <v>2.6700163710947189E-2</v>
      </c>
    </row>
    <row r="5" spans="1:7" x14ac:dyDescent="0.45">
      <c r="A5" s="14" t="s">
        <v>255</v>
      </c>
      <c r="B5" s="14" t="s">
        <v>256</v>
      </c>
      <c r="C5" s="14" t="s">
        <v>257</v>
      </c>
      <c r="D5" s="14" t="s">
        <v>258</v>
      </c>
      <c r="E5" s="14" t="s">
        <v>259</v>
      </c>
      <c r="F5" s="14" t="s">
        <v>260</v>
      </c>
    </row>
    <row r="6" spans="1:7" x14ac:dyDescent="0.45">
      <c r="A6" s="44" t="s">
        <v>261</v>
      </c>
      <c r="B6" s="45">
        <v>-1.1650830292527781E-3</v>
      </c>
      <c r="C6" s="45">
        <v>2.6700163710947189E-2</v>
      </c>
      <c r="D6" s="45">
        <v>6.3430686458018082E-2</v>
      </c>
      <c r="E6" s="46">
        <v>6.459576948727086E-2</v>
      </c>
      <c r="F6" s="44" t="s">
        <v>262</v>
      </c>
    </row>
    <row r="7" spans="1:7" x14ac:dyDescent="0.45">
      <c r="A7" s="47" t="s">
        <v>263</v>
      </c>
      <c r="B7" s="48">
        <v>6.9656989486244214E-4</v>
      </c>
      <c r="C7" s="48">
        <v>2.6700163710947189E-2</v>
      </c>
      <c r="D7" s="48">
        <v>6.0745528607181631E-2</v>
      </c>
      <c r="E7" s="46">
        <v>6.0048958712319189E-2</v>
      </c>
      <c r="F7" s="47" t="s">
        <v>262</v>
      </c>
    </row>
    <row r="8" spans="1:7" x14ac:dyDescent="0.45">
      <c r="A8" s="44" t="s">
        <v>264</v>
      </c>
      <c r="B8" s="45">
        <v>5.4375458024150232E-2</v>
      </c>
      <c r="C8" s="45">
        <v>2.6700163710947189E-2</v>
      </c>
      <c r="D8" s="45">
        <v>1.193383625274858E-2</v>
      </c>
      <c r="E8" s="49">
        <v>-4.244162177140165E-2</v>
      </c>
      <c r="F8" s="44" t="s">
        <v>265</v>
      </c>
    </row>
    <row r="9" spans="1:7" x14ac:dyDescent="0.45">
      <c r="A9" s="47" t="s">
        <v>266</v>
      </c>
      <c r="B9" s="48">
        <v>3.8014727749703818E-2</v>
      </c>
      <c r="C9" s="48">
        <v>2.6700163710947189E-2</v>
      </c>
      <c r="D9" s="48">
        <v>2.797018885630775E-3</v>
      </c>
      <c r="E9" s="49">
        <v>-3.521770886407305E-2</v>
      </c>
      <c r="F9" s="47" t="s">
        <v>265</v>
      </c>
    </row>
    <row r="10" spans="1:7" x14ac:dyDescent="0.45">
      <c r="A10" s="44" t="s">
        <v>267</v>
      </c>
      <c r="B10" s="45">
        <v>3.1773716991752909E-2</v>
      </c>
      <c r="C10" s="45">
        <v>2.6700163710947189E-2</v>
      </c>
      <c r="D10" s="45">
        <v>1.89628602088181E-2</v>
      </c>
      <c r="E10" s="49">
        <v>-1.281085678293481E-2</v>
      </c>
      <c r="F10" s="44" t="s">
        <v>265</v>
      </c>
    </row>
    <row r="11" spans="1:7" x14ac:dyDescent="0.45">
      <c r="A11" s="47" t="s">
        <v>268</v>
      </c>
      <c r="B11" s="48">
        <v>3.1528767943329587E-2</v>
      </c>
      <c r="C11" s="48">
        <v>2.6700163710947189E-2</v>
      </c>
      <c r="D11" s="48">
        <v>2.2342422505788662E-2</v>
      </c>
      <c r="E11" s="49">
        <v>-9.1863454375409326E-3</v>
      </c>
      <c r="F11" s="47" t="s">
        <v>265</v>
      </c>
    </row>
    <row r="12" spans="1:7" x14ac:dyDescent="0.45">
      <c r="A12" s="44" t="s">
        <v>269</v>
      </c>
      <c r="B12" s="45">
        <v>2.7207539348557349E-2</v>
      </c>
      <c r="C12" s="45">
        <v>2.6700163710947189E-2</v>
      </c>
      <c r="D12" s="45">
        <v>3.5420938890948772E-2</v>
      </c>
      <c r="E12" s="46">
        <v>8.2133995423914197E-3</v>
      </c>
      <c r="F12" s="44" t="s">
        <v>262</v>
      </c>
    </row>
  </sheetData>
  <mergeCells count="1">
    <mergeCell ref="A1:G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showGridLines="0" topLeftCell="A3" workbookViewId="0">
      <selection activeCell="B12" sqref="B12"/>
    </sheetView>
  </sheetViews>
  <sheetFormatPr defaultRowHeight="14.25" x14ac:dyDescent="0.45"/>
  <cols>
    <col min="1" max="1" width="32" customWidth="1"/>
    <col min="2" max="4" width="18" customWidth="1"/>
  </cols>
  <sheetData>
    <row r="1" spans="1:4" ht="28.05" customHeight="1" x14ac:dyDescent="0.45">
      <c r="A1" s="60" t="s">
        <v>270</v>
      </c>
      <c r="B1" s="57"/>
      <c r="C1" s="57"/>
      <c r="D1" s="57"/>
    </row>
    <row r="3" spans="1:4" x14ac:dyDescent="0.45">
      <c r="A3" s="50" t="s">
        <v>255</v>
      </c>
      <c r="B3" s="50" t="s">
        <v>271</v>
      </c>
      <c r="C3" s="50" t="s">
        <v>69</v>
      </c>
      <c r="D3" s="50" t="s">
        <v>272</v>
      </c>
    </row>
    <row r="4" spans="1:4" x14ac:dyDescent="0.45">
      <c r="A4" s="51" t="s">
        <v>273</v>
      </c>
      <c r="B4" s="52">
        <v>5.0000000000000001E-3</v>
      </c>
      <c r="C4" s="9" t="s">
        <v>31</v>
      </c>
      <c r="D4" s="53">
        <v>5.0000000000000001E-3</v>
      </c>
    </row>
    <row r="5" spans="1:4" x14ac:dyDescent="0.45">
      <c r="A5" s="51" t="s">
        <v>274</v>
      </c>
      <c r="B5" s="52">
        <v>100</v>
      </c>
      <c r="C5" s="9" t="s">
        <v>29</v>
      </c>
      <c r="D5" s="53">
        <v>100</v>
      </c>
    </row>
    <row r="6" spans="1:4" x14ac:dyDescent="0.45">
      <c r="A6" s="51" t="s">
        <v>264</v>
      </c>
      <c r="B6" s="52">
        <v>450</v>
      </c>
      <c r="C6" s="9" t="s">
        <v>275</v>
      </c>
      <c r="D6" s="53">
        <v>450</v>
      </c>
    </row>
    <row r="7" spans="1:4" x14ac:dyDescent="0.45">
      <c r="A7" s="54" t="s">
        <v>276</v>
      </c>
      <c r="B7" s="55" t="s">
        <v>277</v>
      </c>
      <c r="C7" s="9" t="s">
        <v>278</v>
      </c>
      <c r="D7" s="53" t="s">
        <v>279</v>
      </c>
    </row>
    <row r="8" spans="1:4" x14ac:dyDescent="0.45">
      <c r="A8" s="51" t="s">
        <v>280</v>
      </c>
      <c r="B8" s="52">
        <v>0</v>
      </c>
      <c r="C8" s="9" t="s">
        <v>31</v>
      </c>
      <c r="D8" s="53">
        <v>0</v>
      </c>
    </row>
    <row r="9" spans="1:4" x14ac:dyDescent="0.45">
      <c r="A9" s="51" t="s">
        <v>261</v>
      </c>
      <c r="B9" s="52">
        <v>0.22</v>
      </c>
      <c r="C9" s="9" t="s">
        <v>31</v>
      </c>
      <c r="D9" s="53">
        <v>0.22</v>
      </c>
    </row>
    <row r="10" spans="1:4" x14ac:dyDescent="0.45">
      <c r="A10" s="51" t="s">
        <v>269</v>
      </c>
      <c r="B10" s="52">
        <v>0.7</v>
      </c>
      <c r="C10" s="9" t="s">
        <v>31</v>
      </c>
      <c r="D10" s="53">
        <v>0.7</v>
      </c>
    </row>
    <row r="11" spans="1:4" x14ac:dyDescent="0.45">
      <c r="A11" s="51" t="s">
        <v>281</v>
      </c>
      <c r="B11" s="52">
        <v>0</v>
      </c>
      <c r="C11" s="9" t="s">
        <v>282</v>
      </c>
      <c r="D11" s="53">
        <v>0</v>
      </c>
    </row>
    <row r="12" spans="1:4" x14ac:dyDescent="0.45">
      <c r="A12" s="51" t="s">
        <v>267</v>
      </c>
      <c r="B12" s="52">
        <v>5.0000000000000001E-3</v>
      </c>
      <c r="C12" s="9" t="s">
        <v>283</v>
      </c>
      <c r="D12" s="53">
        <v>5.0000000000000001E-3</v>
      </c>
    </row>
    <row r="13" spans="1:4" x14ac:dyDescent="0.45">
      <c r="A13" s="51" t="s">
        <v>284</v>
      </c>
      <c r="B13" s="52" t="s">
        <v>54</v>
      </c>
      <c r="C13" s="9" t="s">
        <v>285</v>
      </c>
      <c r="D13" s="53" t="s">
        <v>54</v>
      </c>
    </row>
    <row r="14" spans="1:4" x14ac:dyDescent="0.45">
      <c r="A14" s="51" t="s">
        <v>286</v>
      </c>
      <c r="B14" s="52">
        <v>0.05</v>
      </c>
      <c r="C14" s="9" t="s">
        <v>283</v>
      </c>
      <c r="D14" s="53">
        <v>0.05</v>
      </c>
    </row>
    <row r="15" spans="1:4" x14ac:dyDescent="0.45">
      <c r="A15" s="51" t="s">
        <v>287</v>
      </c>
      <c r="B15" s="52">
        <v>1.2</v>
      </c>
      <c r="C15" s="9" t="s">
        <v>31</v>
      </c>
      <c r="D15" s="53">
        <v>1.2</v>
      </c>
    </row>
    <row r="16" spans="1:4" x14ac:dyDescent="0.45">
      <c r="A16" s="51" t="s">
        <v>288</v>
      </c>
      <c r="B16" s="52">
        <v>6</v>
      </c>
      <c r="C16" s="9" t="s">
        <v>50</v>
      </c>
      <c r="D16" s="53">
        <v>6</v>
      </c>
    </row>
    <row r="17" spans="1:4" x14ac:dyDescent="0.45">
      <c r="A17" s="51" t="s">
        <v>289</v>
      </c>
      <c r="B17" s="52">
        <v>0.14000000000000001</v>
      </c>
      <c r="C17" s="9" t="s">
        <v>283</v>
      </c>
      <c r="D17" s="53">
        <v>0.14000000000000001</v>
      </c>
    </row>
    <row r="18" spans="1:4" x14ac:dyDescent="0.45">
      <c r="A18" s="51" t="s">
        <v>290</v>
      </c>
      <c r="B18" s="52">
        <v>0</v>
      </c>
      <c r="C18" s="9" t="s">
        <v>282</v>
      </c>
      <c r="D18" s="53">
        <v>0</v>
      </c>
    </row>
    <row r="19" spans="1:4" x14ac:dyDescent="0.45">
      <c r="A19" s="51" t="s">
        <v>291</v>
      </c>
      <c r="B19" s="52">
        <v>0</v>
      </c>
      <c r="C19" s="9" t="s">
        <v>292</v>
      </c>
      <c r="D19" s="53">
        <v>0</v>
      </c>
    </row>
    <row r="20" spans="1:4" x14ac:dyDescent="0.45">
      <c r="A20" s="51" t="s">
        <v>293</v>
      </c>
      <c r="B20" s="52">
        <v>5.0000000000000001E-3</v>
      </c>
      <c r="C20" s="9" t="s">
        <v>31</v>
      </c>
      <c r="D20" s="53">
        <v>5.0000000000000001E-3</v>
      </c>
    </row>
    <row r="21" spans="1:4" x14ac:dyDescent="0.45">
      <c r="A21" s="51" t="s">
        <v>268</v>
      </c>
      <c r="B21" s="52">
        <v>9.7500000000000003E-2</v>
      </c>
      <c r="C21" s="9" t="s">
        <v>283</v>
      </c>
      <c r="D21" s="53">
        <v>9.7500000000000003E-2</v>
      </c>
    </row>
    <row r="22" spans="1:4" x14ac:dyDescent="0.45">
      <c r="A22" s="51" t="s">
        <v>294</v>
      </c>
      <c r="B22" s="52">
        <v>0</v>
      </c>
      <c r="C22" s="9" t="s">
        <v>295</v>
      </c>
      <c r="D22" s="53">
        <v>0</v>
      </c>
    </row>
    <row r="23" spans="1:4" x14ac:dyDescent="0.45">
      <c r="A23" s="51" t="s">
        <v>296</v>
      </c>
      <c r="B23" s="52">
        <v>0</v>
      </c>
      <c r="C23" s="9" t="s">
        <v>31</v>
      </c>
      <c r="D23" s="53">
        <v>0</v>
      </c>
    </row>
    <row r="24" spans="1:4" x14ac:dyDescent="0.45">
      <c r="A24" s="51" t="s">
        <v>297</v>
      </c>
      <c r="B24" s="52">
        <v>0</v>
      </c>
      <c r="C24" s="9" t="s">
        <v>46</v>
      </c>
      <c r="D24" s="53">
        <v>0</v>
      </c>
    </row>
    <row r="25" spans="1:4" x14ac:dyDescent="0.45">
      <c r="A25" s="51" t="s">
        <v>298</v>
      </c>
      <c r="B25" s="52">
        <v>0.03</v>
      </c>
      <c r="C25" s="9" t="s">
        <v>283</v>
      </c>
      <c r="D25" s="53">
        <v>0.03</v>
      </c>
    </row>
    <row r="26" spans="1:4" x14ac:dyDescent="0.45">
      <c r="A26" s="51" t="s">
        <v>266</v>
      </c>
      <c r="B26" s="52">
        <v>8</v>
      </c>
      <c r="C26" s="9" t="s">
        <v>299</v>
      </c>
      <c r="D26" s="53">
        <v>8</v>
      </c>
    </row>
    <row r="27" spans="1:4" x14ac:dyDescent="0.45">
      <c r="A27" s="51" t="s">
        <v>300</v>
      </c>
      <c r="B27" s="52">
        <v>25</v>
      </c>
      <c r="C27" s="9" t="s">
        <v>44</v>
      </c>
      <c r="D27" s="53">
        <v>25</v>
      </c>
    </row>
    <row r="28" spans="1:4" x14ac:dyDescent="0.45">
      <c r="A28" s="51" t="s">
        <v>263</v>
      </c>
      <c r="B28" s="52">
        <v>2.65</v>
      </c>
      <c r="C28" s="9" t="s">
        <v>301</v>
      </c>
      <c r="D28" s="53">
        <v>2.65</v>
      </c>
    </row>
    <row r="29" spans="1:4" x14ac:dyDescent="0.45">
      <c r="A29" s="51" t="s">
        <v>302</v>
      </c>
      <c r="B29" s="52">
        <v>0</v>
      </c>
      <c r="C29" s="9" t="s">
        <v>283</v>
      </c>
      <c r="D29" s="53">
        <v>0</v>
      </c>
    </row>
    <row r="30" spans="1:4" x14ac:dyDescent="0.45">
      <c r="A30" s="51" t="s">
        <v>303</v>
      </c>
      <c r="B30" s="52">
        <v>0.25</v>
      </c>
      <c r="C30" s="9" t="s">
        <v>31</v>
      </c>
      <c r="D30" s="53">
        <v>0.25</v>
      </c>
    </row>
    <row r="31" spans="1:4" x14ac:dyDescent="0.45">
      <c r="A31" s="51" t="s">
        <v>304</v>
      </c>
      <c r="B31" s="52">
        <v>0</v>
      </c>
      <c r="C31" s="9" t="s">
        <v>282</v>
      </c>
      <c r="D31" s="53">
        <v>0</v>
      </c>
    </row>
    <row r="32" spans="1:4" x14ac:dyDescent="0.45">
      <c r="A32" s="51" t="s">
        <v>305</v>
      </c>
      <c r="B32" s="52">
        <v>0.4</v>
      </c>
      <c r="C32" s="9" t="s">
        <v>283</v>
      </c>
      <c r="D32" s="53">
        <v>0.4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Income Statement</vt:lpstr>
      <vt:lpstr>Cash Flow</vt:lpstr>
      <vt:lpstr>Debt Schedule</vt:lpstr>
      <vt:lpstr>Generation &amp; Revenue</vt:lpstr>
      <vt:lpstr>Waterfall</vt:lpstr>
      <vt:lpstr>Sensitivity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Mall</cp:lastModifiedBy>
  <dcterms:created xsi:type="dcterms:W3CDTF">2026-03-28T09:27:20Z</dcterms:created>
  <dcterms:modified xsi:type="dcterms:W3CDTF">2026-03-28T12:37:09Z</dcterms:modified>
</cp:coreProperties>
</file>